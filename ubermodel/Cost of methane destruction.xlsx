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S DD Calculations" sheetId="1" r:id="rId5"/>
    <sheet state="visible" name="Experimental CH4 ppbsec x ppd c" sheetId="2" r:id="rId6"/>
    <sheet state="visible" name="Calculations Work" sheetId="3" r:id="rId7"/>
    <sheet state="visible" name="Notes Work" sheetId="4" r:id="rId8"/>
    <sheet state="visible" name="Summary Work" sheetId="5" r:id="rId9"/>
    <sheet state="visible" name="Calculations Master" sheetId="6" r:id="rId10"/>
    <sheet state="visible" name="Notes Master" sheetId="7" r:id="rId11"/>
    <sheet state="visible" name="Summary Master"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tc={2674aeb2-d986-42f8-91d7-37c323fc49e4}</author>
    <author>tc={d96d9300-d824-4f5d-9e7c-4a776211cc19}</author>
  </authors>
  <commentList>
    <comment authorId="0" xr:uid="{2674aeb2-d986-42f8-91d7-37c323fc49e4}" ref="F27">
      <text>
        <t xml:space="preserve">[Threaded comment]
 Your version of Excel allows you to read this threaded comment; however, any edits to it will get removed if the file is opened in a newer version of Excel. Learn more: https://go.microsoft.com/fwlink/?linkid=870924
Comment:
	This seems like the root of all evil. Where does it come from?
Reply:
	Comes from an analysis you did in Slack in laser dance which I reposted the other day (10 days ago) and you and I then discussed just before I went to NYC.
</t>
      </text>
    </comment>
    <comment authorId="1" xr:uid="{d96d9300-d824-4f5d-9e7c-4a776211cc19}" ref="J14">
      <text>
        <t xml:space="preserve">[Threaded comment]
 Your version of Excel allows you to read this threaded comment; however, any edits to it will get removed if the file is opened in a newer version of Excel. Learn more: https://go.microsoft.com/fwlink/?linkid=870924
Comment:
	No really. It's ~linear for (by eye) each 10k window, but by the time you're own to ambient the slope is much lower. I can give you numbers on these.
Reply:
	Good — add them to the parameters block and I can change the model to use those
</t>
      </text>
    </comment>
  </commentList>
</comments>
</file>

<file path=xl/sharedStrings.xml><?xml version="1.0" encoding="utf-8"?>
<sst xmlns="http://schemas.openxmlformats.org/spreadsheetml/2006/main" count="848" uniqueCount="255">
  <si>
    <t>Primary in</t>
  </si>
  <si>
    <t>CH4 Con. (ppb):</t>
  </si>
  <si>
    <t>Dev Watts:</t>
  </si>
  <si>
    <t>Plausible fleet</t>
  </si>
  <si>
    <t>Tonnes CH4</t>
  </si>
  <si>
    <t>Total Net $:</t>
  </si>
  <si>
    <t>Secondary in</t>
  </si>
  <si>
    <t>Net $ (CO2e)</t>
  </si>
  <si>
    <t>CH4 converted</t>
  </si>
  <si>
    <t>(per device)</t>
  </si>
  <si>
    <t>Primary interem</t>
  </si>
  <si>
    <t>Genral Interim Calculations</t>
  </si>
  <si>
    <t>Primary out</t>
  </si>
  <si>
    <t>Units and constants</t>
  </si>
  <si>
    <t>Control Eq.</t>
  </si>
  <si>
    <t>Conversion Ratio:</t>
  </si>
  <si>
    <t>J</t>
  </si>
  <si>
    <t>Joule</t>
  </si>
  <si>
    <t>Coefficient</t>
  </si>
  <si>
    <t>Unit</t>
  </si>
  <si>
    <t>Downconversion</t>
  </si>
  <si>
    <t>CH4 Concentration</t>
  </si>
  <si>
    <t>W</t>
  </si>
  <si>
    <t>Watt</t>
  </si>
  <si>
    <t>J/s</t>
  </si>
  <si>
    <t>kWy</t>
  </si>
  <si>
    <t>tonnes CH4</t>
  </si>
  <si>
    <t>CH4 Conc. (ppb)</t>
  </si>
  <si>
    <t>kW</t>
  </si>
  <si>
    <t>Kilowatt</t>
  </si>
  <si>
    <t>Watts</t>
  </si>
  <si>
    <t>MWy</t>
  </si>
  <si>
    <t>delta ppb/sec (per fit)</t>
  </si>
  <si>
    <t>(@25W)</t>
  </si>
  <si>
    <t>MW</t>
  </si>
  <si>
    <t>Megawatt</t>
  </si>
  <si>
    <t>Kilowatts</t>
  </si>
  <si>
    <t>tonnes CO2e</t>
  </si>
  <si>
    <t>Our use</t>
  </si>
  <si>
    <t>Wh</t>
  </si>
  <si>
    <t>Watt-hour</t>
  </si>
  <si>
    <t>Joules</t>
  </si>
  <si>
    <t>ppb/sec final</t>
  </si>
  <si>
    <t>ppb/sec (at full power)</t>
  </si>
  <si>
    <t>kWh</t>
  </si>
  <si>
    <t>Kilowatt hour</t>
  </si>
  <si>
    <t>Kilowatt year</t>
  </si>
  <si>
    <t>J/tonne CH4</t>
  </si>
  <si>
    <t>MWh</t>
  </si>
  <si>
    <t>Megawatt hour</t>
  </si>
  <si>
    <t>J/tonne CO2e</t>
  </si>
  <si>
    <t>Break Even:</t>
  </si>
  <si>
    <t>mWy</t>
  </si>
  <si>
    <t>Megawatt year</t>
  </si>
  <si>
    <t>Alternate functions (for I8):</t>
  </si>
  <si>
    <t>Mass of 1ppb CH4 in air</t>
  </si>
  <si>
    <t>g</t>
  </si>
  <si>
    <t>Cost of energy:</t>
  </si>
  <si>
    <t>ppm</t>
  </si>
  <si>
    <t>Parts per million</t>
  </si>
  <si>
    <t>Shipboard</t>
  </si>
  <si>
    <t>ppb</t>
  </si>
  <si>
    <t>Parts per billion</t>
  </si>
  <si>
    <t>megatonnes</t>
  </si>
  <si>
    <t>tonnes</t>
  </si>
  <si>
    <t>Hours/year</t>
  </si>
  <si>
    <t>Credit price</t>
  </si>
  <si>
    <t>Sunlight hours/year</t>
  </si>
  <si>
    <t>CO2e ratio</t>
  </si>
  <si>
    <t>tonnes/gram</t>
  </si>
  <si>
    <t>ton CH4</t>
  </si>
  <si>
    <t>$1,500/t EU/ETS Methane Fee</t>
  </si>
  <si>
    <t>ton CO2e</t>
  </si>
  <si>
    <t>"ideal target" -- currently closer to $250 for permanent removal</t>
  </si>
  <si>
    <t>Experimentally observed CH4 oxidation curve:</t>
  </si>
  <si>
    <t>Concetration Calculations</t>
  </si>
  <si>
    <t>(in 56 liters)</t>
  </si>
  <si>
    <t>"Ship days"</t>
  </si>
  <si>
    <t>days at sea</t>
  </si>
  <si>
    <t>Assuming 14 day trip, day in port on either side, no emission 1 day before or after port</t>
  </si>
  <si>
    <t>ppb/sec</t>
  </si>
  <si>
    <t>watts</t>
  </si>
  <si>
    <t>days/year</t>
  </si>
  <si>
    <t>Percent of year at sea</t>
  </si>
  <si>
    <t>ppb/day</t>
  </si>
  <si>
    <t>sec/day</t>
  </si>
  <si>
    <t>ppb/year</t>
  </si>
  <si>
    <t>Ship Ambient</t>
  </si>
  <si>
    <t>Maximum annual "capacity" of ships</t>
  </si>
  <si>
    <t>g/y(56L)</t>
  </si>
  <si>
    <t>Powerplant</t>
  </si>
  <si>
    <t>Global Fleet:</t>
  </si>
  <si>
    <t>Approximately</t>
  </si>
  <si>
    <t>of ship power</t>
  </si>
  <si>
    <t>Estimated</t>
  </si>
  <si>
    <t>Energy used</t>
  </si>
  <si>
    <t>Not a full year -- ship days</t>
  </si>
  <si>
    <t>Power ranges from ?20? MW -&gt; 60 MW</t>
  </si>
  <si>
    <t>Energy cost/year</t>
  </si>
  <si>
    <t>total per year</t>
  </si>
  <si>
    <t>Credit value</t>
  </si>
  <si>
    <t>Avg power avail</t>
  </si>
  <si>
    <t>MW available</t>
  </si>
  <si>
    <t>CO2e converted</t>
  </si>
  <si>
    <t>Total power</t>
  </si>
  <si>
    <t>MW across available fleet</t>
  </si>
  <si>
    <t>Net $ (CH4)</t>
  </si>
  <si>
    <t>Real power avail</t>
  </si>
  <si>
    <t>Due to ship days</t>
  </si>
  <si>
    <t>(Megawatts)</t>
  </si>
  <si>
    <t>Ship emissions</t>
  </si>
  <si>
    <t>tonnes CO2</t>
  </si>
  <si>
    <t>WAG</t>
  </si>
  <si>
    <t>Total Net $ (CO2e)</t>
  </si>
  <si>
    <t>$/tonne CH4</t>
  </si>
  <si>
    <t>Cost</t>
  </si>
  <si>
    <t>$/tonne CO2e</t>
  </si>
  <si>
    <t>seconds</t>
  </si>
  <si>
    <t>delta</t>
  </si>
  <si>
    <t>experiment</t>
  </si>
  <si>
    <t>Ambient Calculations:</t>
  </si>
  <si>
    <t>in 56L</t>
  </si>
  <si>
    <t>Alt calc:</t>
  </si>
  <si>
    <t>The mass of 1 ppb (parts per billion) of methane (CH4) in one liter of air is approximately 4.0 x 10^-9 grams</t>
  </si>
  <si>
    <t>ppb s-1 W-1 (in 56L)</t>
  </si>
  <si>
    <t>s y-1</t>
  </si>
  <si>
    <t>ppb y-1 W-1</t>
  </si>
  <si>
    <t>g ppb-1 (56L)</t>
  </si>
  <si>
    <t>g t-1</t>
  </si>
  <si>
    <t>2ft³ = 56.634L</t>
  </si>
  <si>
    <t>ppb t-1</t>
  </si>
  <si>
    <t>y w t-1</t>
  </si>
  <si>
    <t>kWy t-1</t>
  </si>
  <si>
    <t>g/ppb/56L</t>
  </si>
  <si>
    <t>g/mole CH4 in air</t>
  </si>
  <si>
    <t>g/year</t>
  </si>
  <si>
    <t>L/mole</t>
  </si>
  <si>
    <t>ppb (in)</t>
  </si>
  <si>
    <t>moles/chamber</t>
  </si>
  <si>
    <t>1 tonne = 1000*1000 g = 1e6g</t>
  </si>
  <si>
    <t>6/mole CH4</t>
  </si>
  <si>
    <t>gCH4/Chamber</t>
  </si>
  <si>
    <t>Multipler for 1 tonne ch4/year</t>
  </si>
  <si>
    <t>ppbCH4</t>
  </si>
  <si>
    <t>wattage</t>
  </si>
  <si>
    <t>ppbCH4removed/ppb</t>
  </si>
  <si>
    <t>Open Issues</t>
  </si>
  <si>
    <t>Model panel output degradation over time</t>
  </si>
  <si>
    <t>Enter some data experimental data, avg it out to support assumptions</t>
  </si>
  <si>
    <t>Model cost of capital for solar field, proper lifetime amortization</t>
  </si>
  <si>
    <t>Develop conversion ratios for concentrations below 2 ppm (2024 ambient)</t>
  </si>
  <si>
    <t>Does not account for bulb degredation / replacement</t>
  </si>
  <si>
    <t>Can we get kW scale bulbs?</t>
  </si>
  <si>
    <t>Need to model residual O3 emission</t>
  </si>
  <si>
    <t>Assumptions:</t>
  </si>
  <si>
    <t>Conversion ratio is linear with concentration in the range 2-50,000 ppm</t>
  </si>
  <si>
    <t>Yellow means input parameter (alter it to see how model reacts)</t>
  </si>
  <si>
    <t>https://bluedotchange.slack.com/archives/C06QGF5LD51/p1718251368909159</t>
  </si>
  <si>
    <t>Aqua means check my maths!!</t>
  </si>
  <si>
    <t>Input Parameters:</t>
  </si>
  <si>
    <t>Translate into kwh</t>
  </si>
  <si>
    <t>and kwy</t>
  </si>
  <si>
    <t>USA</t>
  </si>
  <si>
    <t>Average USA 2023 WHOLESALE price</t>
  </si>
  <si>
    <t>Hypothetical Stylianos 2024 (probably never to be charged)</t>
  </si>
  <si>
    <t>2025; $1,500/t 2026 (EPA Methane Fee) -- US ton Note: only applies to biggest fossil fuel emitters</t>
  </si>
  <si>
    <t>Solar Field</t>
  </si>
  <si>
    <t>Cap Cost</t>
  </si>
  <si>
    <t>Per MW nameplace capacity, i.e. $1/W installed in USA -- might be higher in landfills, deserts etc?</t>
  </si>
  <si>
    <t>Land Use</t>
  </si>
  <si>
    <t>Acres/MW</t>
  </si>
  <si>
    <t>Nameplate Capacity -- vague rule of thumb!</t>
  </si>
  <si>
    <t>Nameplate ratio</t>
  </si>
  <si>
    <t>Presumed output as % of nameplace capacity</t>
  </si>
  <si>
    <t>Panel lifetime</t>
  </si>
  <si>
    <t>Years</t>
  </si>
  <si>
    <t>Landfill</t>
  </si>
  <si>
    <t>Construction</t>
  </si>
  <si>
    <t>2X the standard solar field cap ex</t>
  </si>
  <si>
    <t>Concentration</t>
  </si>
  <si>
    <t>This is the threshold after which EPA requires remediation!</t>
  </si>
  <si>
    <t>Models</t>
  </si>
  <si>
    <t>Plausible count</t>
  </si>
  <si>
    <t>Megawatts</t>
  </si>
  <si>
    <t>Small -- money loser</t>
  </si>
  <si>
    <t>Solar Field Ambient</t>
  </si>
  <si>
    <t>Getting to 100 Mt via Solar Field Ambient</t>
  </si>
  <si>
    <t>Nameplate cap.</t>
  </si>
  <si>
    <t>83 GW</t>
  </si>
  <si>
    <t>Acreage</t>
  </si>
  <si>
    <t>Acres</t>
  </si>
  <si>
    <t>Mojave:</t>
  </si>
  <si>
    <t>1.6 million acres</t>
  </si>
  <si>
    <t>Available cap.</t>
  </si>
  <si>
    <t>Great Sandy desert</t>
  </si>
  <si>
    <t>70 million acres</t>
  </si>
  <si>
    <t>Energy cost</t>
  </si>
  <si>
    <t>shouldn't these be the same as the figures in column D?</t>
  </si>
  <si>
    <t>Landfill (Solar Field) -- could we put the devices UNDER the solar panels?</t>
  </si>
  <si>
    <t>Getting to 100 Mt via Landfill (Solar Field)</t>
  </si>
  <si>
    <t>(Doesn't help with fighting ambient)</t>
  </si>
  <si>
    <t>"Average Landfill is 600 Acres"</t>
  </si>
  <si>
    <t>Construction prem</t>
  </si>
  <si>
    <t>Landfill premium</t>
  </si>
  <si>
    <t>CH4 concentration</t>
  </si>
  <si>
    <t>Capital Cost</t>
  </si>
  <si>
    <t>Let's see....okay, so that's (* pi (* 2 2))in*2ft/sec * 30 = 8640 in^3/sec. There's 61000 in^3 / m^3 so about a m^3 every 7 seconds at 1kw. 1 m^3. 1 mole of gas is 22 liters, so that's 45 moles/ m^3. A mole of ch4 is 16g. 16*45 = 720g, which I'm gonna round to 1kg. So unless I've dropped a 10x here or there (which seems likely), 1kw takes out 1 kg CH4 every 10 seconds. ... That seems high. I've probably dropped an oom or ten someplace.</t>
  </si>
  <si>
    <t xml:space="preserve">Let's see....okay, so that's (* pi (* 2 2))in*2ft/sec * 30 = 8640 in^3/sec. </t>
  </si>
  <si>
    <t>There's 61000 in^3 / m^3 so about a m^3 every 7 seconds at 1kw. 1 m^3</t>
  </si>
  <si>
    <t>1 mole of gas is 22 liters, so that's 45 moles/ m^3</t>
  </si>
  <si>
    <t>A mole of ch4 is 16g</t>
  </si>
  <si>
    <t>16*45 = 720g, which I'm gonna round to 1kg.</t>
  </si>
  <si>
    <t xml:space="preserve">So unless I've dropped a 10x here or there (which seems likely), 1kw takes out 1 kg CH4 every 10 seconds. </t>
  </si>
  <si>
    <t>Ah. Right, so we only take out 3ppb in that...which is a small %</t>
  </si>
  <si>
    <t>If we call it 2ppb that's 1/1000th.</t>
  </si>
  <si>
    <t>So call it 1g instead of 1kg.</t>
  </si>
  <si>
    <t>There are 31million seconds/year, so we get to do this 3m times with that one 1kw device in a year.</t>
  </si>
  <si>
    <t>So that looks like 3 tonnes / kw / year. ,... Maybe.</t>
  </si>
  <si>
    <t>(Continuous)</t>
  </si>
  <si>
    <t>jshrager</t>
  </si>
  <si>
    <t>1wk is 4 solar panels.</t>
  </si>
  <si>
    <t>So a kilotonne would be just a megawatt of power.</t>
  </si>
  <si>
    <t>Maybe. Again, I need to write this all down.</t>
  </si>
  <si>
    <t>(Per year)</t>
  </si>
  <si>
    <t>It takes about 10 acres of solar to produce a megawatt.</t>
  </si>
  <si>
    <t>Rosamond produces 500mw.</t>
  </si>
  <si>
    <t>A solar farm is about $1/w to build (and much less than that to run, obviously).</t>
  </si>
  <si>
    <t>Actually, I think that this is all un-necessary. The smog chamber experiment definitively demonstrated CH4 conversion, at ambient that started when the light turned on, and ended when the light turned off, so all the ozone was being used to remove methane. The 2ft^3 (the tank) is about 55 liters which is about 2 moles total gas. At 2000ppb thats 2/1 million, or 2e-6 methane. Since a mole of methane is 16g, 2e-6*32 = 6.4e-5g/hr/lamp. To get to a gram you need 16,000 lamp hours, which is about 2 years (for a single lamp). A kilogram is a million of those, so 16e9 lamp hours per tonne, and at 30w that's 480gwh/tonne. That's a bit decivingly high because it'd be spread over a year of 8.7e3 hours = 55mw, and, say, 50 sites at only a mw each. But that's just to take out a tonne. To sweep the ~150mt created each year (at the moment!) that's 150e6 such sites, which seems hard to imagine, in any terms, solar or nuclear. I don't see how ISA is going to get there either. If ISA operates at, say, 10x, a mole of FeCl3 is 162g, so 10x makes it gram-for-gram equivalent, but still, you have to have 150mt of FeCl3 a year blown into the atmosphere to get to the same point. And blowing that into the atmosphere is also not energy free. If you put out say a tonne an hour from one ship (which seems unlikely because where are you gonna get and keep all that FeCl3?) you'd need 17,000 ships operating all year, each carrying and distributing 8700 tonnes of FeCl3 continuously.</t>
  </si>
  <si>
    <t>m3</t>
  </si>
  <si>
    <t>in troposphere</t>
  </si>
  <si>
    <t>wh</t>
  </si>
  <si>
    <t>removes</t>
  </si>
  <si>
    <t>1 ppm</t>
  </si>
  <si>
    <t xml:space="preserve">removes </t>
  </si>
  <si>
    <t>from troposphere</t>
  </si>
  <si>
    <t>hours/year</t>
  </si>
  <si>
    <t>wy</t>
  </si>
  <si>
    <t>wy/nuke</t>
  </si>
  <si>
    <t>nukes</t>
  </si>
  <si>
    <t>in a year</t>
  </si>
  <si>
    <t>LED efficiency over bulb</t>
  </si>
  <si>
    <t>with better illumination tech</t>
  </si>
  <si>
    <t>run for this many years</t>
  </si>
  <si>
    <t>over 10 years</t>
  </si>
  <si>
    <t>X engineering improvement</t>
  </si>
  <si>
    <t>with better device engineering</t>
  </si>
  <si>
    <t>cost per micronuke</t>
  </si>
  <si>
    <t>cost to do in over a decade</t>
  </si>
  <si>
    <t>annual cost over</t>
  </si>
  <si>
    <t xml:space="preserve">years </t>
  </si>
  <si>
    <t>For Solar:</t>
  </si>
  <si>
    <t>required</t>
  </si>
  <si>
    <t>w</t>
  </si>
  <si>
    <t>per year over</t>
  </si>
  <si>
    <t>years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</si>
</sst>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_(&quot;$&quot;* #,##0.00_);_(&quot;$&quot;* \(#,##0.00\);_(&quot;$&quot;* &quot;-&quot;??_);_(@_)"/>
    <numFmt numFmtId="166" formatCode="&quot;$&quot;#,##0.00"/>
    <numFmt numFmtId="167" formatCode="#,##0.000000"/>
    <numFmt numFmtId="168" formatCode="&quot;$&quot;#,##0.0000"/>
  </numFmts>
  <fonts count="19">
    <font>
      <sz val="10.0"/>
      <color rgb="FF000000"/>
      <name val="Arial"/>
      <scheme val="minor"/>
    </font>
    <font>
      <color theme="1"/>
      <name val="Arial"/>
      <scheme val="minor"/>
    </font>
    <font>
      <b/>
      <u/>
      <color theme="1"/>
      <name val="Arial"/>
      <scheme val="minor"/>
    </font>
    <font>
      <b/>
      <color theme="1"/>
      <name val="Arial"/>
      <scheme val="minor"/>
    </font>
    <font>
      <u/>
      <color theme="1"/>
      <name val="Arial"/>
      <scheme val="minor"/>
    </font>
    <font>
      <u/>
      <color theme="1"/>
      <name val="Arial"/>
      <scheme val="minor"/>
    </font>
    <font>
      <i/>
      <color theme="1"/>
      <name val="Arial"/>
      <scheme val="minor"/>
    </font>
    <font>
      <b/>
      <i/>
      <color theme="1"/>
      <name val="Arial"/>
      <scheme val="minor"/>
    </font>
    <font>
      <strike/>
      <color theme="1"/>
      <name val="Arial"/>
      <scheme val="minor"/>
    </font>
    <font>
      <sz val="12.0"/>
      <color theme="1"/>
      <name val="Arial"/>
    </font>
    <font>
      <u/>
      <color theme="1"/>
      <name val="Arial"/>
      <scheme val="minor"/>
    </font>
    <font>
      <u/>
      <color theme="1"/>
      <name val="Arial"/>
      <scheme val="minor"/>
    </font>
    <font>
      <b/>
      <u/>
      <color theme="1"/>
      <name val="Arial"/>
      <scheme val="minor"/>
    </font>
    <font>
      <u/>
      <color rgb="FF0000FF"/>
    </font>
    <font>
      <u/>
      <color rgb="FF0000FF"/>
    </font>
    <font>
      <sz val="11.0"/>
      <color rgb="FF1D1C1D"/>
      <name val="Arial"/>
    </font>
    <font>
      <sz val="11.0"/>
      <color rgb="FF1D1C1D"/>
      <name val="Slack-Lato"/>
    </font>
    <font>
      <u/>
      <sz val="11.0"/>
      <color rgb="FF1D1C1D"/>
      <name val="Slack-Lato"/>
    </font>
    <font>
      <sz val="11.0"/>
      <color theme="1"/>
      <name val="Arial"/>
      <scheme val="minor"/>
    </font>
  </fonts>
  <fills count="9">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F1C232"/>
        <bgColor rgb="FFF1C232"/>
      </patternFill>
    </fill>
    <fill>
      <patternFill patternType="solid">
        <fgColor rgb="FFA4C2F4"/>
        <bgColor rgb="FFA4C2F4"/>
      </patternFill>
    </fill>
    <fill>
      <patternFill patternType="solid">
        <fgColor rgb="FFEA9999"/>
        <bgColor rgb="FFEA9999"/>
      </patternFill>
    </fill>
    <fill>
      <patternFill patternType="solid">
        <fgColor rgb="FFFFE599"/>
        <bgColor rgb="FFFFE599"/>
      </patternFill>
    </fill>
    <fill>
      <patternFill patternType="solid">
        <fgColor rgb="FFFFFFFF"/>
        <bgColor rgb="FFFFFFFF"/>
      </patternFill>
    </fill>
  </fills>
  <borders count="14">
    <border/>
    <border>
      <left style="thick">
        <color rgb="FF000000"/>
      </left>
      <top style="thick">
        <color rgb="FF000000"/>
      </top>
    </border>
    <border>
      <top style="thick">
        <color rgb="FF000000"/>
      </top>
    </border>
    <border>
      <right style="thick">
        <color rgb="FF000000"/>
      </right>
      <top style="thick">
        <color rgb="FF000000"/>
      </top>
    </border>
    <border>
      <right style="thin">
        <color rgb="FF000000"/>
      </right>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double">
        <color rgb="FF000000"/>
      </left>
    </border>
    <border>
      <left style="double">
        <color rgb="FF000000"/>
      </left>
      <bottom style="double">
        <color rgb="FF000000"/>
      </bottom>
    </border>
    <border>
      <bottom style="double">
        <color rgb="FF000000"/>
      </bottom>
    </border>
    <border>
      <top style="double">
        <color rgb="FF000000"/>
      </top>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3" xfId="0" applyAlignment="1" applyFont="1" applyNumberFormat="1">
      <alignment readingOrder="0"/>
    </xf>
    <xf borderId="0" fillId="3" fontId="1" numFmtId="0" xfId="0" applyAlignment="1" applyFill="1" applyFont="1">
      <alignment readingOrder="0"/>
    </xf>
    <xf borderId="0" fillId="3" fontId="1" numFmtId="4" xfId="0" applyFont="1" applyNumberFormat="1"/>
    <xf borderId="0" fillId="3" fontId="1" numFmtId="164" xfId="0" applyFont="1" applyNumberFormat="1"/>
    <xf borderId="0" fillId="4" fontId="1" numFmtId="0" xfId="0" applyAlignment="1" applyFill="1" applyFont="1">
      <alignment readingOrder="0"/>
    </xf>
    <xf borderId="0" fillId="3" fontId="1" numFmtId="0" xfId="0" applyFont="1"/>
    <xf borderId="0" fillId="5" fontId="1" numFmtId="0" xfId="0" applyAlignment="1" applyFill="1" applyFont="1">
      <alignment readingOrder="0"/>
    </xf>
    <xf borderId="1" fillId="0" fontId="2" numFmtId="0" xfId="0" applyAlignment="1" applyBorder="1" applyFont="1">
      <alignment readingOrder="0"/>
    </xf>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0" fillId="0" fontId="3" numFmtId="0" xfId="0" applyAlignment="1" applyFont="1">
      <alignment readingOrder="0"/>
    </xf>
    <xf borderId="6" fillId="0" fontId="1" numFmtId="0" xfId="0" applyBorder="1" applyFont="1"/>
    <xf borderId="2" fillId="0" fontId="4" numFmtId="0" xfId="0" applyBorder="1" applyFont="1"/>
    <xf borderId="3" fillId="0" fontId="5" numFmtId="0" xfId="0" applyBorder="1" applyFont="1"/>
    <xf borderId="0" fillId="6" fontId="1" numFmtId="0" xfId="0" applyAlignment="1" applyFill="1" applyFont="1">
      <alignment readingOrder="0"/>
    </xf>
    <xf borderId="0" fillId="0" fontId="1" numFmtId="0" xfId="0" applyAlignment="1" applyFont="1">
      <alignment readingOrder="0"/>
    </xf>
    <xf borderId="0" fillId="0" fontId="1" numFmtId="11" xfId="0" applyFont="1" applyNumberFormat="1"/>
    <xf borderId="0" fillId="5" fontId="1" numFmtId="4" xfId="0" applyAlignment="1" applyFont="1" applyNumberFormat="1">
      <alignment readingOrder="0"/>
    </xf>
    <xf borderId="0" fillId="0" fontId="1" numFmtId="3" xfId="0" applyAlignment="1" applyFont="1" applyNumberFormat="1">
      <alignment readingOrder="0"/>
    </xf>
    <xf borderId="0" fillId="0" fontId="1" numFmtId="4" xfId="0" applyFont="1" applyNumberFormat="1"/>
    <xf borderId="0" fillId="0" fontId="1" numFmtId="3" xfId="0" applyFont="1" applyNumberFormat="1"/>
    <xf borderId="0" fillId="0" fontId="1" numFmtId="4" xfId="0" applyAlignment="1" applyFont="1" applyNumberFormat="1">
      <alignment readingOrder="0"/>
    </xf>
    <xf borderId="0" fillId="0" fontId="1" numFmtId="11" xfId="0" applyAlignment="1" applyFont="1" applyNumberFormat="1">
      <alignment readingOrder="0"/>
    </xf>
    <xf borderId="6" fillId="0" fontId="1" numFmtId="0" xfId="0" applyAlignment="1" applyBorder="1" applyFont="1">
      <alignment readingOrder="0"/>
    </xf>
    <xf borderId="0" fillId="4" fontId="1" numFmtId="165" xfId="0" applyAlignment="1" applyFont="1" applyNumberFormat="1">
      <alignment readingOrder="0"/>
    </xf>
    <xf borderId="0" fillId="0" fontId="1" numFmtId="0" xfId="0" applyFont="1"/>
    <xf borderId="7" fillId="0" fontId="1" numFmtId="0" xfId="0" applyBorder="1" applyFont="1"/>
    <xf borderId="8" fillId="0" fontId="1" numFmtId="0" xfId="0" applyAlignment="1" applyBorder="1" applyFont="1">
      <alignment readingOrder="0"/>
    </xf>
    <xf borderId="8" fillId="0" fontId="1" numFmtId="0" xfId="0" applyBorder="1" applyFont="1"/>
    <xf borderId="8" fillId="0" fontId="1" numFmtId="11" xfId="0" applyAlignment="1" applyBorder="1" applyFont="1" applyNumberFormat="1">
      <alignment readingOrder="0"/>
    </xf>
    <xf borderId="9" fillId="0" fontId="1" numFmtId="0" xfId="0" applyBorder="1" applyFont="1"/>
    <xf borderId="0" fillId="7" fontId="1" numFmtId="4" xfId="0" applyAlignment="1" applyFill="1" applyFont="1" applyNumberFormat="1">
      <alignment readingOrder="0"/>
    </xf>
    <xf borderId="0" fillId="7" fontId="1" numFmtId="0" xfId="0" applyAlignment="1" applyFont="1">
      <alignment readingOrder="0"/>
    </xf>
    <xf borderId="0" fillId="0" fontId="1" numFmtId="9" xfId="0" applyFont="1" applyNumberFormat="1"/>
    <xf borderId="0" fillId="5" fontId="1" numFmtId="4" xfId="0" applyFont="1" applyNumberFormat="1"/>
    <xf borderId="0" fillId="0" fontId="1" numFmtId="0" xfId="0" applyFont="1"/>
    <xf borderId="0" fillId="0" fontId="6" numFmtId="0" xfId="0" applyAlignment="1" applyFont="1">
      <alignment readingOrder="0"/>
    </xf>
    <xf borderId="0" fillId="0" fontId="7" numFmtId="0" xfId="0" applyAlignment="1" applyFont="1">
      <alignment readingOrder="0"/>
    </xf>
    <xf borderId="10" fillId="0" fontId="3" numFmtId="0" xfId="0" applyAlignment="1" applyBorder="1" applyFont="1">
      <alignment readingOrder="0"/>
    </xf>
    <xf borderId="10" fillId="0" fontId="1" numFmtId="0" xfId="0" applyAlignment="1" applyBorder="1" applyFont="1">
      <alignment readingOrder="0"/>
    </xf>
    <xf borderId="0" fillId="4" fontId="1" numFmtId="3" xfId="0" applyFont="1" applyNumberFormat="1"/>
    <xf borderId="0" fillId="0" fontId="1" numFmtId="10" xfId="0" applyFont="1" applyNumberFormat="1"/>
    <xf borderId="0" fillId="0" fontId="1" numFmtId="1" xfId="0" applyFont="1" applyNumberFormat="1"/>
    <xf borderId="10" fillId="0" fontId="1" numFmtId="0" xfId="0" applyBorder="1" applyFont="1"/>
    <xf borderId="0" fillId="0" fontId="1" numFmtId="164" xfId="0" applyFont="1" applyNumberFormat="1"/>
    <xf borderId="0" fillId="0" fontId="1" numFmtId="165" xfId="0" applyFont="1" applyNumberFormat="1"/>
    <xf borderId="0" fillId="4" fontId="1" numFmtId="3" xfId="0" applyAlignment="1" applyFont="1" applyNumberFormat="1">
      <alignment readingOrder="0"/>
    </xf>
    <xf borderId="0" fillId="4" fontId="1" numFmtId="11" xfId="0" applyFont="1" applyNumberFormat="1"/>
    <xf borderId="10" fillId="3" fontId="1" numFmtId="0" xfId="0" applyAlignment="1" applyBorder="1" applyFont="1">
      <alignment readingOrder="0"/>
    </xf>
    <xf borderId="0" fillId="0" fontId="1" numFmtId="166" xfId="0" applyFont="1" applyNumberFormat="1"/>
    <xf borderId="11" fillId="0" fontId="1" numFmtId="164" xfId="0" applyAlignment="1" applyBorder="1" applyFont="1" applyNumberFormat="1">
      <alignment readingOrder="0"/>
    </xf>
    <xf borderId="12" fillId="0" fontId="1" numFmtId="0" xfId="0" applyBorder="1" applyFont="1"/>
    <xf borderId="13" fillId="0" fontId="1" numFmtId="0" xfId="0" applyAlignment="1" applyBorder="1" applyFont="1">
      <alignment readingOrder="0"/>
    </xf>
    <xf borderId="13" fillId="0" fontId="1" numFmtId="0" xfId="0" applyBorder="1" applyFont="1"/>
    <xf borderId="0" fillId="2" fontId="1" numFmtId="0" xfId="0" applyFont="1"/>
    <xf borderId="0" fillId="0" fontId="8" numFmtId="0" xfId="0" applyFont="1"/>
    <xf borderId="0" fillId="8" fontId="9" numFmtId="0" xfId="0" applyAlignment="1" applyFill="1" applyFont="1">
      <alignment readingOrder="0" shrinkToFit="0" wrapText="1"/>
    </xf>
    <xf borderId="0" fillId="6" fontId="1" numFmtId="4" xfId="0" applyFont="1" applyNumberFormat="1"/>
    <xf borderId="0" fillId="6" fontId="1" numFmtId="0" xfId="0" applyFont="1"/>
    <xf borderId="0" fillId="0" fontId="1" numFmtId="167" xfId="0" applyAlignment="1" applyFont="1" applyNumberFormat="1">
      <alignment readingOrder="0"/>
    </xf>
    <xf borderId="0" fillId="0" fontId="10" numFmtId="0" xfId="0" applyAlignment="1" applyFont="1">
      <alignment readingOrder="0"/>
    </xf>
    <xf borderId="0" fillId="0" fontId="11" numFmtId="0" xfId="0" applyFont="1"/>
    <xf borderId="5" fillId="0" fontId="12" numFmtId="0" xfId="0" applyAlignment="1" applyBorder="1" applyFont="1">
      <alignment readingOrder="0"/>
    </xf>
    <xf borderId="0" fillId="0" fontId="13" numFmtId="0" xfId="0" applyAlignment="1" applyFont="1">
      <alignment readingOrder="0"/>
    </xf>
    <xf borderId="0" fillId="0" fontId="14" numFmtId="0" xfId="0" applyAlignment="1" applyFont="1">
      <alignment readingOrder="0"/>
    </xf>
    <xf borderId="0" fillId="2" fontId="1" numFmtId="3" xfId="0" applyFont="1" applyNumberFormat="1"/>
    <xf borderId="0" fillId="3" fontId="1" numFmtId="3" xfId="0" applyFont="1" applyNumberFormat="1"/>
    <xf borderId="0" fillId="2" fontId="1" numFmtId="164" xfId="0" applyAlignment="1" applyFont="1" applyNumberFormat="1">
      <alignment readingOrder="0"/>
    </xf>
    <xf borderId="0" fillId="2" fontId="1" numFmtId="166" xfId="0" applyAlignment="1" applyFont="1" applyNumberFormat="1">
      <alignment readingOrder="0"/>
    </xf>
    <xf borderId="0" fillId="2" fontId="1" numFmtId="9" xfId="0" applyAlignment="1" applyFont="1" applyNumberFormat="1">
      <alignment readingOrder="0"/>
    </xf>
    <xf borderId="8" fillId="0" fontId="6" numFmtId="0" xfId="0" applyAlignment="1" applyBorder="1" applyFont="1">
      <alignment readingOrder="0"/>
    </xf>
    <xf borderId="10" fillId="0" fontId="1" numFmtId="164" xfId="0" applyBorder="1" applyFont="1" applyNumberFormat="1"/>
    <xf borderId="10" fillId="0" fontId="7" numFmtId="0" xfId="0" applyAlignment="1" applyBorder="1" applyFont="1">
      <alignment readingOrder="0"/>
    </xf>
    <xf borderId="0" fillId="3" fontId="1" numFmtId="168" xfId="0" applyFont="1" applyNumberFormat="1"/>
    <xf borderId="11" fillId="0" fontId="1" numFmtId="0" xfId="0" applyAlignment="1" applyBorder="1" applyFont="1">
      <alignment readingOrder="0"/>
    </xf>
    <xf borderId="12" fillId="3" fontId="1" numFmtId="168" xfId="0" applyBorder="1" applyFont="1" applyNumberFormat="1"/>
    <xf borderId="12" fillId="0" fontId="1" numFmtId="0" xfId="0" applyAlignment="1" applyBorder="1" applyFont="1">
      <alignment readingOrder="0"/>
    </xf>
    <xf borderId="0" fillId="8" fontId="15" numFmtId="0" xfId="0" applyAlignment="1" applyFont="1">
      <alignment horizontal="left" readingOrder="0" shrinkToFit="0" wrapText="1"/>
    </xf>
    <xf borderId="0" fillId="8" fontId="16" numFmtId="0" xfId="0" applyAlignment="1" applyFont="1">
      <alignment horizontal="right" readingOrder="0" shrinkToFit="0" wrapText="1"/>
    </xf>
    <xf borderId="0" fillId="8" fontId="16" numFmtId="0" xfId="0" applyAlignment="1" applyFont="1">
      <alignment horizontal="left" readingOrder="0" shrinkToFit="0" wrapText="1"/>
    </xf>
    <xf borderId="0" fillId="8" fontId="17" numFmtId="20" xfId="0" applyAlignment="1" applyFont="1" applyNumberFormat="1">
      <alignment horizontal="right" readingOrder="0" shrinkToFit="0" wrapText="1"/>
    </xf>
    <xf borderId="0" fillId="0" fontId="18" numFmtId="0" xfId="0" applyAlignment="1" applyFont="1">
      <alignment horizontal="left" readingOrder="0" shrinkToFit="0" wrapText="1"/>
    </xf>
    <xf borderId="0" fillId="0" fontId="16" numFmtId="0" xfId="0" applyAlignment="1" applyFont="1">
      <alignment shrinkToFit="0" vertical="bottom" wrapText="1"/>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20241008 ppb CH4 conversion / sec (1x25w UVZ in chamber)</a:t>
            </a:r>
          </a:p>
        </c:rich>
      </c:tx>
      <c:overlay val="0"/>
    </c:title>
    <c:plotArea>
      <c:layout/>
      <c:lineChart>
        <c:varyColors val="0"/>
        <c:ser>
          <c:idx val="0"/>
          <c:order val="0"/>
          <c:spPr>
            <a:ln cmpd="sng">
              <a:solidFill>
                <a:srgbClr val="4285F4"/>
              </a:solidFill>
            </a:ln>
          </c:spPr>
          <c:marker>
            <c:symbol val="none"/>
          </c:marker>
          <c:dLbls>
            <c:numFmt formatCode="0.00" sourceLinked="0"/>
            <c:txPr>
              <a:bodyPr/>
              <a:lstStyle/>
              <a:p>
                <a:pPr lvl="0">
                  <a:defRPr/>
                </a:pPr>
              </a:p>
            </c:txPr>
            <c:showLegendKey val="0"/>
            <c:showVal val="1"/>
            <c:showCatName val="0"/>
            <c:showSerName val="0"/>
            <c:showPercent val="0"/>
            <c:showBubbleSize val="0"/>
          </c:dLbls>
          <c:trendline>
            <c:name/>
            <c:spPr>
              <a:ln w="19050">
                <a:solidFill>
                  <a:srgbClr val="000000"/>
                </a:solidFill>
              </a:ln>
            </c:spPr>
            <c:trendlineType val="exp"/>
            <c:dispRSqr val="0"/>
            <c:dispEq val="1"/>
          </c:trendline>
          <c:cat>
            <c:strRef>
              <c:f>'Experimental CH4 ppbsec x ppd c'!$A$1:$A$1000</c:f>
            </c:strRef>
          </c:cat>
          <c:val>
            <c:numRef>
              <c:f>'Experimental CH4 ppbsec x ppd c'!$B$1:$B$1000</c:f>
              <c:numCache/>
            </c:numRef>
          </c:val>
          <c:smooth val="0"/>
        </c:ser>
        <c:axId val="479622826"/>
        <c:axId val="1651254213"/>
      </c:lineChart>
      <c:catAx>
        <c:axId val="479622826"/>
        <c:scaling>
          <c:orientation val="minMax"/>
          <c:min val="0.0"/>
        </c:scaling>
        <c:delete val="0"/>
        <c:axPos val="b"/>
        <c:title>
          <c:tx>
            <c:rich>
              <a:bodyPr/>
              <a:lstStyle/>
              <a:p>
                <a:pPr lvl="0">
                  <a:defRPr b="0">
                    <a:solidFill>
                      <a:srgbClr val="000000"/>
                    </a:solidFill>
                    <a:latin typeface="+mn-lt"/>
                  </a:defRPr>
                </a:pPr>
                <a:r>
                  <a:rPr b="0">
                    <a:solidFill>
                      <a:srgbClr val="000000"/>
                    </a:solidFill>
                    <a:latin typeface="+mn-lt"/>
                  </a:rPr>
                  <a:t>ppb CH4 (starting)</a:t>
                </a:r>
              </a:p>
            </c:rich>
          </c:tx>
          <c:overlay val="0"/>
        </c:title>
        <c:numFmt formatCode="General" sourceLinked="1"/>
        <c:majorTickMark val="none"/>
        <c:minorTickMark val="none"/>
        <c:spPr/>
        <c:txPr>
          <a:bodyPr/>
          <a:lstStyle/>
          <a:p>
            <a:pPr lvl="0">
              <a:defRPr b="0">
                <a:solidFill>
                  <a:srgbClr val="000000"/>
                </a:solidFill>
                <a:latin typeface="+mn-lt"/>
              </a:defRPr>
            </a:pPr>
          </a:p>
        </c:txPr>
        <c:crossAx val="1651254213"/>
      </c:catAx>
      <c:valAx>
        <c:axId val="16512542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deltal ppb/sec</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9622826"/>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771525</xdr:colOff>
      <xdr:row>4</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V Henkel-Wallace" id="{fd5f28c3-c734-4cdc-b0f0-10ba7274f96a}" providerId="google-sheets"/>
  <x18tc:person displayName="Jeff Shrager" id="{15110688-33bd-4144-9f44-c9e496ed8cb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7" dT="2024-10-03T20:57:02.00" personId="{15110688-33bd-4144-9f44-c9e496ed8cb2}" id="{2674aeb2-d986-42f8-91d7-37c323fc49e4}" done="0">
    <x18tc:text xml:space="preserve">This seems like the root of all evil. Where does it come from?</x18tc:text>
  </x18tc:threadedComment>
  <x18tc:threadedComment ref="F27" dT="2024-10-03T20:59:48.00" personId="{fd5f28c3-c734-4cdc-b0f0-10ba7274f96a}" id="{4d61f781-d62c-40f5-8604-16382b629e73}" parentId="{2674aeb2-d986-42f8-91d7-37c323fc49e4}">
    <x18tc:text xml:space="preserve">Comes from an analysis you did in Slack in laser dance which I reposted the other day (10 days ago) and you and I then discussed just before I went to NYC.</x18tc:text>
  </x18tc:threadedComment>
  <x18tc:threadedComment ref="J14" dT="2024-10-03T20:55:50.00" personId="{15110688-33bd-4144-9f44-c9e496ed8cb2}" id="{d96d9300-d824-4f5d-9e7c-4a776211cc19}" done="0">
    <x18tc:text xml:space="preserve">No really. It's ~linear for (by eye) each 10k window, but by the time you're own to ambient the slope is much lower. I can give you numbers on these.</x18tc:text>
  </x18tc:threadedComment>
  <x18tc:threadedComment ref="J14" dT="2024-10-03T20:58:34.00" personId="{fd5f28c3-c734-4cdc-b0f0-10ba7274f96a}" id="{a3a187e9-8ca5-4a10-b6aa-81280a873baf}" parentId="{d96d9300-d824-4f5d-9e7c-4a776211cc19}">
    <x18tc:text xml:space="preserve">Good — add them to the parameters block and I can change the model to use those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bluedotchange.slack.com/archives/C06QGF5LD51/p1718251368909159" TargetMode="External"/><Relationship Id="rId5" Type="http://schemas.openxmlformats.org/officeDocument/2006/relationships/hyperlink" Target="https://bluedotchange.slack.com/archives/C06QGF5LD51/p1718251368909159" TargetMode="External"/><Relationship Id="rId6" Type="http://schemas.openxmlformats.org/officeDocument/2006/relationships/drawing" Target="../drawings/drawing3.xml"/><Relationship Id="rId7"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bennuclimate.slack.com/archives/C06QGF5LD51/p1718251712979509" TargetMode="External"/><Relationship Id="rId2" Type="http://schemas.openxmlformats.org/officeDocument/2006/relationships/hyperlink" Target="https://bennuclimate.slack.com/archives/C06QGF5LD51/p1718251749194789" TargetMode="External"/><Relationship Id="rId3" Type="http://schemas.openxmlformats.org/officeDocument/2006/relationships/hyperlink" Target="https://bennuclimate.slack.com/archives/C06QGF5LD51/p1718251773152269" TargetMode="External"/><Relationship Id="rId4" Type="http://schemas.openxmlformats.org/officeDocument/2006/relationships/hyperlink" Target="https://bennuclimate.slack.com/archives/C06QGF5LD51/p1718251916395369" TargetMode="External"/><Relationship Id="rId5" Type="http://schemas.openxmlformats.org/officeDocument/2006/relationships/hyperlink" Target="https://bennuclimate.slack.com/archives/C06QGF5LD51/p1718252025789289"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bluedotchange.slack.com/archives/C06QGF5LD51/p1718251368909159" TargetMode="External"/><Relationship Id="rId2" Type="http://schemas.openxmlformats.org/officeDocument/2006/relationships/hyperlink" Target="https://bluedotchange.slack.com/archives/C06QGF5LD51/p171825136890915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ennuclimate.slack.com/archives/C06QGF5LD51/p1718251712979509" TargetMode="External"/><Relationship Id="rId2" Type="http://schemas.openxmlformats.org/officeDocument/2006/relationships/hyperlink" Target="https://bennuclimate.slack.com/archives/C06QGF5LD51/p1718251749194789" TargetMode="External"/><Relationship Id="rId3" Type="http://schemas.openxmlformats.org/officeDocument/2006/relationships/hyperlink" Target="https://bennuclimate.slack.com/archives/C06QGF5LD51/p1718251773152269" TargetMode="External"/><Relationship Id="rId4" Type="http://schemas.openxmlformats.org/officeDocument/2006/relationships/hyperlink" Target="https://bennuclimate.slack.com/archives/C06QGF5LD51/p1718251916395369" TargetMode="External"/><Relationship Id="rId5" Type="http://schemas.openxmlformats.org/officeDocument/2006/relationships/hyperlink" Target="https://bennuclimate.slack.com/archives/C06QGF5LD51/p1718252025789289"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4" max="4" width="14.88"/>
    <col customWidth="1" min="5" max="5" width="14.38"/>
    <col customWidth="1" min="6" max="6" width="14.25"/>
    <col customWidth="1" min="14" max="14" width="16.0"/>
    <col customWidth="1" min="17" max="17" width="16.13"/>
  </cols>
  <sheetData>
    <row r="1">
      <c r="A1" s="1" t="s">
        <v>0</v>
      </c>
      <c r="D1" s="1" t="s">
        <v>1</v>
      </c>
      <c r="E1" s="2">
        <v>300000.0</v>
      </c>
      <c r="G1" s="1" t="s">
        <v>2</v>
      </c>
      <c r="H1" s="1">
        <v>40000.0</v>
      </c>
      <c r="J1" s="1" t="s">
        <v>3</v>
      </c>
      <c r="K1" s="1">
        <v>1.0</v>
      </c>
      <c r="M1" s="3" t="s">
        <v>4</v>
      </c>
      <c r="N1" s="4">
        <f>D33</f>
        <v>4.97664</v>
      </c>
      <c r="P1" s="3" t="s">
        <v>5</v>
      </c>
      <c r="Q1" s="5">
        <f>J38</f>
        <v>167110.6949</v>
      </c>
    </row>
    <row r="2">
      <c r="A2" s="6" t="s">
        <v>6</v>
      </c>
      <c r="D2" s="3" t="s">
        <v>7</v>
      </c>
      <c r="E2" s="5">
        <f>F34-$D$32</f>
        <v>4928.427616</v>
      </c>
      <c r="G2" s="3" t="s">
        <v>8</v>
      </c>
      <c r="H2" s="4">
        <f>D31*$D$17</f>
        <v>9006.164384</v>
      </c>
      <c r="I2" s="7" t="str">
        <f>$G$7</f>
        <v>tonnes CH4</v>
      </c>
      <c r="M2" s="3" t="s">
        <v>9</v>
      </c>
    </row>
    <row r="3">
      <c r="A3" s="8" t="s">
        <v>10</v>
      </c>
      <c r="C3" s="9" t="s">
        <v>11</v>
      </c>
      <c r="D3" s="10"/>
      <c r="E3" s="10"/>
      <c r="F3" s="10"/>
      <c r="G3" s="10"/>
      <c r="H3" s="10"/>
      <c r="I3" s="10"/>
      <c r="J3" s="10"/>
      <c r="K3" s="11"/>
    </row>
    <row r="4">
      <c r="A4" s="3" t="s">
        <v>12</v>
      </c>
      <c r="B4" s="12"/>
      <c r="C4" s="13"/>
      <c r="D4" s="14"/>
      <c r="E4" s="14"/>
      <c r="F4" s="14"/>
      <c r="K4" s="15"/>
      <c r="M4" s="9" t="s">
        <v>13</v>
      </c>
      <c r="N4" s="16"/>
      <c r="O4" s="16"/>
      <c r="P4" s="16"/>
      <c r="Q4" s="16"/>
      <c r="R4" s="17"/>
    </row>
    <row r="5">
      <c r="A5" s="18" t="s">
        <v>14</v>
      </c>
      <c r="B5" s="12"/>
      <c r="C5" s="13" t="s">
        <v>15</v>
      </c>
      <c r="D5" s="14"/>
      <c r="E5" s="14"/>
      <c r="F5" s="14"/>
      <c r="K5" s="15"/>
      <c r="M5" s="13"/>
      <c r="N5" s="19" t="s">
        <v>16</v>
      </c>
      <c r="O5" s="19" t="s">
        <v>17</v>
      </c>
      <c r="R5" s="15"/>
    </row>
    <row r="6">
      <c r="B6" s="12"/>
      <c r="C6" s="13"/>
      <c r="D6" s="14" t="s">
        <v>18</v>
      </c>
      <c r="E6" s="14" t="s">
        <v>19</v>
      </c>
      <c r="F6" s="14" t="s">
        <v>20</v>
      </c>
      <c r="G6" s="14" t="s">
        <v>19</v>
      </c>
      <c r="H6" s="14" t="s">
        <v>21</v>
      </c>
      <c r="K6" s="15"/>
      <c r="M6" s="13"/>
      <c r="N6" s="19" t="s">
        <v>22</v>
      </c>
      <c r="O6" s="19" t="s">
        <v>23</v>
      </c>
      <c r="P6" s="20">
        <v>1.0</v>
      </c>
      <c r="Q6" s="19" t="s">
        <v>24</v>
      </c>
      <c r="R6" s="15"/>
    </row>
    <row r="7">
      <c r="B7" s="12"/>
      <c r="C7" s="13"/>
      <c r="D7" s="19">
        <v>1.0</v>
      </c>
      <c r="E7" s="19" t="s">
        <v>25</v>
      </c>
      <c r="F7" s="21">
        <f>N28*P20</f>
        <v>1.2109824</v>
      </c>
      <c r="G7" s="19" t="s">
        <v>26</v>
      </c>
      <c r="H7" s="1" t="s">
        <v>27</v>
      </c>
      <c r="I7" s="2">
        <f>E1</f>
        <v>300000</v>
      </c>
      <c r="K7" s="15"/>
      <c r="M7" s="13"/>
      <c r="N7" s="19" t="s">
        <v>28</v>
      </c>
      <c r="O7" s="19" t="s">
        <v>29</v>
      </c>
      <c r="P7" s="20">
        <v>1000.0</v>
      </c>
      <c r="Q7" s="19" t="s">
        <v>30</v>
      </c>
      <c r="R7" s="15"/>
    </row>
    <row r="8">
      <c r="B8" s="12"/>
      <c r="C8" s="13"/>
      <c r="D8" s="22">
        <v>1.0</v>
      </c>
      <c r="E8" s="19" t="s">
        <v>31</v>
      </c>
      <c r="F8" s="23">
        <f>F7*$P$8</f>
        <v>1210.9824</v>
      </c>
      <c r="G8" s="19" t="s">
        <v>26</v>
      </c>
      <c r="H8" s="18" t="s">
        <v>32</v>
      </c>
      <c r="I8" s="24">
        <f>0.00005*I7</f>
        <v>15</v>
      </c>
      <c r="J8" s="18" t="s">
        <v>33</v>
      </c>
      <c r="K8" s="15"/>
      <c r="M8" s="13"/>
      <c r="N8" s="19" t="s">
        <v>34</v>
      </c>
      <c r="O8" s="19" t="s">
        <v>35</v>
      </c>
      <c r="P8" s="20">
        <v>1000.0</v>
      </c>
      <c r="Q8" s="19" t="s">
        <v>36</v>
      </c>
      <c r="R8" s="15"/>
    </row>
    <row r="9">
      <c r="B9" s="12"/>
      <c r="C9" s="13"/>
      <c r="D9" s="19">
        <v>1.0</v>
      </c>
      <c r="E9" s="19" t="s">
        <v>25</v>
      </c>
      <c r="F9" s="25">
        <f>F7*D20</f>
        <v>33.9075072</v>
      </c>
      <c r="G9" s="19" t="s">
        <v>37</v>
      </c>
      <c r="H9" s="19" t="s">
        <v>38</v>
      </c>
      <c r="I9" s="6">
        <v>10.0</v>
      </c>
      <c r="J9" s="19" t="s">
        <v>28</v>
      </c>
      <c r="K9" s="15"/>
      <c r="M9" s="13"/>
      <c r="N9" s="19" t="s">
        <v>39</v>
      </c>
      <c r="O9" s="19" t="s">
        <v>40</v>
      </c>
      <c r="P9" s="20">
        <f>60*60</f>
        <v>3600</v>
      </c>
      <c r="Q9" s="19" t="s">
        <v>41</v>
      </c>
      <c r="R9" s="15"/>
    </row>
    <row r="10">
      <c r="B10" s="12"/>
      <c r="C10" s="13"/>
      <c r="D10" s="22">
        <v>1.0</v>
      </c>
      <c r="E10" s="19" t="s">
        <v>31</v>
      </c>
      <c r="F10" s="23">
        <f>F9*$P$8</f>
        <v>33907.5072</v>
      </c>
      <c r="G10" s="19" t="s">
        <v>37</v>
      </c>
      <c r="H10" s="22" t="s">
        <v>42</v>
      </c>
      <c r="I10" s="20">
        <f>I9*(1000/25)*I8</f>
        <v>6000</v>
      </c>
      <c r="J10" s="19" t="s">
        <v>43</v>
      </c>
      <c r="K10" s="15"/>
      <c r="M10" s="13"/>
      <c r="N10" s="19" t="s">
        <v>44</v>
      </c>
      <c r="O10" s="19" t="s">
        <v>45</v>
      </c>
      <c r="P10" s="20">
        <f>$P$9*$P$7</f>
        <v>3600000</v>
      </c>
      <c r="Q10" s="19" t="s">
        <v>41</v>
      </c>
      <c r="R10" s="15"/>
    </row>
    <row r="11">
      <c r="B11" s="12"/>
      <c r="C11" s="13"/>
      <c r="K11" s="15"/>
      <c r="M11" s="13"/>
      <c r="N11" s="19" t="s">
        <v>25</v>
      </c>
      <c r="O11" s="19" t="s">
        <v>46</v>
      </c>
      <c r="P11" s="20">
        <f>$P$10*$O$18</f>
        <v>31557600000</v>
      </c>
      <c r="Q11" s="19" t="s">
        <v>41</v>
      </c>
      <c r="R11" s="15"/>
    </row>
    <row r="12">
      <c r="B12" s="12"/>
      <c r="C12" s="13"/>
      <c r="D12" s="24">
        <f>$P$11/F7</f>
        <v>26059503425</v>
      </c>
      <c r="E12" s="19" t="s">
        <v>47</v>
      </c>
      <c r="K12" s="15"/>
      <c r="M12" s="13"/>
      <c r="N12" s="19" t="s">
        <v>48</v>
      </c>
      <c r="O12" s="19" t="s">
        <v>49</v>
      </c>
      <c r="P12" s="20">
        <f>$P$10*$P$8</f>
        <v>3600000000</v>
      </c>
      <c r="Q12" s="19" t="s">
        <v>41</v>
      </c>
      <c r="R12" s="15"/>
    </row>
    <row r="13">
      <c r="B13" s="12"/>
      <c r="C13" s="13"/>
      <c r="D13" s="24">
        <f>$D$12/$D$20</f>
        <v>930696550.9</v>
      </c>
      <c r="E13" s="19" t="s">
        <v>50</v>
      </c>
      <c r="J13" s="19" t="s">
        <v>51</v>
      </c>
      <c r="K13" s="15"/>
      <c r="M13" s="13"/>
      <c r="N13" s="19" t="s">
        <v>52</v>
      </c>
      <c r="O13" s="19" t="s">
        <v>53</v>
      </c>
      <c r="P13" s="20">
        <f>$P$12*$O$18</f>
        <v>31557600000000</v>
      </c>
      <c r="Q13" s="19" t="s">
        <v>41</v>
      </c>
      <c r="R13" s="15"/>
    </row>
    <row r="14">
      <c r="B14" s="12"/>
      <c r="C14" s="13"/>
      <c r="G14" s="19" t="s">
        <v>54</v>
      </c>
      <c r="H14" s="24"/>
      <c r="I14" s="24">
        <f>(0.27*(2.72^(0.0001*I7)))</f>
        <v>2940565686819</v>
      </c>
      <c r="J14" s="1">
        <v>65725.0</v>
      </c>
      <c r="K14" s="15"/>
      <c r="M14" s="13"/>
      <c r="N14" s="19" t="s">
        <v>55</v>
      </c>
      <c r="P14" s="26">
        <v>4.0E-9</v>
      </c>
      <c r="Q14" s="27" t="s">
        <v>56</v>
      </c>
    </row>
    <row r="15">
      <c r="B15" s="12"/>
      <c r="C15" s="13" t="s">
        <v>57</v>
      </c>
      <c r="H15" s="24"/>
      <c r="I15" s="24">
        <f>0.00005*I7</f>
        <v>15</v>
      </c>
      <c r="J15" s="2">
        <v>3877900.0</v>
      </c>
      <c r="K15" s="15"/>
      <c r="M15" s="13"/>
      <c r="N15" s="19" t="s">
        <v>58</v>
      </c>
      <c r="O15" s="19" t="s">
        <v>59</v>
      </c>
      <c r="P15" s="26">
        <v>1.0</v>
      </c>
      <c r="Q15" s="19" t="s">
        <v>58</v>
      </c>
      <c r="R15" s="15"/>
    </row>
    <row r="16">
      <c r="B16" s="12"/>
      <c r="C16" s="13" t="s">
        <v>60</v>
      </c>
      <c r="D16" s="28">
        <v>0.25</v>
      </c>
      <c r="E16" s="19" t="s">
        <v>44</v>
      </c>
      <c r="K16" s="15"/>
      <c r="M16" s="13"/>
      <c r="N16" s="19" t="s">
        <v>61</v>
      </c>
      <c r="O16" s="19" t="s">
        <v>62</v>
      </c>
      <c r="P16" s="20">
        <f>1/1000</f>
        <v>0.001</v>
      </c>
      <c r="Q16" s="19" t="s">
        <v>58</v>
      </c>
      <c r="R16" s="15"/>
    </row>
    <row r="17">
      <c r="B17" s="12"/>
      <c r="C17" s="13" t="s">
        <v>60</v>
      </c>
      <c r="D17" s="29">
        <f>D16*$O$18</f>
        <v>2191.5</v>
      </c>
      <c r="E17" s="19" t="s">
        <v>25</v>
      </c>
      <c r="K17" s="15"/>
      <c r="M17" s="13"/>
      <c r="N17" s="19">
        <v>100.0</v>
      </c>
      <c r="O17" s="19" t="s">
        <v>63</v>
      </c>
      <c r="P17" s="20">
        <f>1000000*N17</f>
        <v>100000000</v>
      </c>
      <c r="Q17" s="19" t="s">
        <v>64</v>
      </c>
      <c r="R17" s="15"/>
    </row>
    <row r="18">
      <c r="B18" s="12"/>
      <c r="C18" s="13"/>
      <c r="K18" s="15"/>
      <c r="M18" s="13"/>
      <c r="N18" s="19" t="s">
        <v>65</v>
      </c>
      <c r="O18" s="24">
        <f>365.25*24</f>
        <v>8766</v>
      </c>
      <c r="P18" s="20"/>
      <c r="R18" s="15"/>
    </row>
    <row r="19">
      <c r="B19" s="12"/>
      <c r="C19" s="13" t="s">
        <v>66</v>
      </c>
      <c r="K19" s="15"/>
      <c r="M19" s="13"/>
      <c r="N19" s="19" t="s">
        <v>67</v>
      </c>
      <c r="O19" s="24">
        <f>O18/2</f>
        <v>4383</v>
      </c>
      <c r="P19" s="20"/>
      <c r="R19" s="15"/>
    </row>
    <row r="20">
      <c r="B20" s="12"/>
      <c r="C20" s="13" t="s">
        <v>68</v>
      </c>
      <c r="D20" s="6">
        <v>28.0</v>
      </c>
      <c r="K20" s="15"/>
      <c r="M20" s="30"/>
      <c r="N20" s="31" t="s">
        <v>69</v>
      </c>
      <c r="O20" s="32"/>
      <c r="P20" s="33">
        <v>1.0E-6</v>
      </c>
      <c r="Q20" s="32"/>
      <c r="R20" s="34"/>
    </row>
    <row r="21">
      <c r="B21" s="12"/>
      <c r="C21" s="13"/>
      <c r="D21" s="28">
        <v>1500.0</v>
      </c>
      <c r="E21" s="19" t="s">
        <v>70</v>
      </c>
      <c r="F21" s="19" t="s">
        <v>71</v>
      </c>
      <c r="K21" s="15"/>
    </row>
    <row r="22">
      <c r="B22" s="12"/>
      <c r="C22" s="13"/>
      <c r="D22" s="28">
        <v>100.0</v>
      </c>
      <c r="E22" s="19" t="s">
        <v>72</v>
      </c>
      <c r="F22" s="19" t="s">
        <v>73</v>
      </c>
      <c r="K22" s="15"/>
      <c r="M22" s="9" t="s">
        <v>74</v>
      </c>
      <c r="N22" s="16"/>
      <c r="O22" s="16"/>
      <c r="P22" s="16"/>
      <c r="Q22" s="17"/>
    </row>
    <row r="23">
      <c r="B23" s="12"/>
      <c r="C23" s="13"/>
      <c r="K23" s="15"/>
      <c r="M23" s="13"/>
      <c r="N23" s="19" t="s">
        <v>75</v>
      </c>
      <c r="P23" s="19" t="s">
        <v>76</v>
      </c>
      <c r="Q23" s="15"/>
    </row>
    <row r="24">
      <c r="B24" s="12"/>
      <c r="C24" s="13" t="s">
        <v>77</v>
      </c>
      <c r="D24" s="6">
        <v>150.0</v>
      </c>
      <c r="E24" s="19" t="s">
        <v>78</v>
      </c>
      <c r="F24" s="19" t="s">
        <v>79</v>
      </c>
      <c r="K24" s="15"/>
      <c r="M24" s="13"/>
      <c r="N24" s="35">
        <f>I10</f>
        <v>6000</v>
      </c>
      <c r="O24" s="19" t="s">
        <v>80</v>
      </c>
      <c r="P24" s="36">
        <v>25.0</v>
      </c>
      <c r="Q24" s="15" t="s">
        <v>81</v>
      </c>
    </row>
    <row r="25">
      <c r="B25" s="12"/>
      <c r="C25" s="13" t="s">
        <v>82</v>
      </c>
      <c r="D25" s="37">
        <f>D24/365</f>
        <v>0.4109589041</v>
      </c>
      <c r="E25" s="19" t="s">
        <v>83</v>
      </c>
      <c r="K25" s="15"/>
      <c r="M25" s="13"/>
      <c r="N25" s="38">
        <f>N24*(P25/P24)</f>
        <v>9600000</v>
      </c>
      <c r="O25" s="19" t="s">
        <v>80</v>
      </c>
      <c r="P25" s="1">
        <f>H1</f>
        <v>40000</v>
      </c>
      <c r="Q25" s="15" t="s">
        <v>81</v>
      </c>
    </row>
    <row r="26">
      <c r="B26" s="12"/>
      <c r="C26" s="30"/>
      <c r="D26" s="32"/>
      <c r="E26" s="32"/>
      <c r="F26" s="32"/>
      <c r="G26" s="32"/>
      <c r="H26" s="32"/>
      <c r="I26" s="32"/>
      <c r="J26" s="32"/>
      <c r="K26" s="34"/>
      <c r="M26" s="13"/>
      <c r="N26" s="20">
        <f t="shared" ref="N26:N27" si="1">N25*P26</f>
        <v>829440000000</v>
      </c>
      <c r="O26" s="19" t="s">
        <v>84</v>
      </c>
      <c r="P26" s="39">
        <f>3600*24</f>
        <v>86400</v>
      </c>
      <c r="Q26" s="15" t="s">
        <v>85</v>
      </c>
    </row>
    <row r="27">
      <c r="C27" s="40"/>
      <c r="M27" s="13"/>
      <c r="N27" s="20">
        <f t="shared" si="1"/>
        <v>302745600000000</v>
      </c>
      <c r="O27" s="19" t="s">
        <v>86</v>
      </c>
      <c r="P27" s="19">
        <v>365.0</v>
      </c>
      <c r="Q27" s="15" t="s">
        <v>82</v>
      </c>
    </row>
    <row r="28">
      <c r="B28" s="12"/>
      <c r="C28" s="41" t="s">
        <v>87</v>
      </c>
      <c r="I28" s="42" t="s">
        <v>88</v>
      </c>
      <c r="M28" s="13"/>
      <c r="N28" s="38">
        <f>N27*P14</f>
        <v>1210982.4</v>
      </c>
      <c r="O28" s="8" t="s">
        <v>89</v>
      </c>
      <c r="Q28" s="15"/>
    </row>
    <row r="29">
      <c r="B29" s="12"/>
      <c r="C29" s="19" t="s">
        <v>90</v>
      </c>
      <c r="D29" s="6">
        <v>60.0</v>
      </c>
      <c r="E29" s="19" t="s">
        <v>34</v>
      </c>
      <c r="I29" s="43" t="s">
        <v>91</v>
      </c>
      <c r="J29" s="44">
        <v>80000.0</v>
      </c>
      <c r="K29" s="19" t="s">
        <v>92</v>
      </c>
      <c r="M29" s="30"/>
      <c r="N29" s="32"/>
      <c r="O29" s="32"/>
      <c r="P29" s="32"/>
      <c r="Q29" s="34"/>
    </row>
    <row r="30">
      <c r="B30" s="12"/>
      <c r="F30" s="45">
        <f>I9/(D29*$P$8)</f>
        <v>0.0001666666667</v>
      </c>
      <c r="G30" s="19" t="s">
        <v>93</v>
      </c>
      <c r="I30" s="43" t="s">
        <v>3</v>
      </c>
      <c r="J30" s="2">
        <f>K1</f>
        <v>1</v>
      </c>
      <c r="K30" s="19" t="s">
        <v>94</v>
      </c>
    </row>
    <row r="31">
      <c r="B31" s="12"/>
      <c r="C31" s="19" t="s">
        <v>95</v>
      </c>
      <c r="D31" s="46">
        <f>I9*$D$25</f>
        <v>4.109589041</v>
      </c>
      <c r="E31" s="19" t="s">
        <v>25</v>
      </c>
      <c r="F31" s="19" t="s">
        <v>96</v>
      </c>
      <c r="I31" s="47"/>
      <c r="J31" s="19" t="s">
        <v>97</v>
      </c>
    </row>
    <row r="32">
      <c r="B32" s="12"/>
      <c r="C32" s="19" t="s">
        <v>98</v>
      </c>
      <c r="D32" s="48">
        <f>D31*$D$17</f>
        <v>9006.164384</v>
      </c>
      <c r="E32" s="19" t="s">
        <v>99</v>
      </c>
      <c r="I32" s="47"/>
    </row>
    <row r="33">
      <c r="B33" s="12"/>
      <c r="C33" s="3" t="s">
        <v>8</v>
      </c>
      <c r="D33" s="4">
        <f>D31*$F$7</f>
        <v>4.97664</v>
      </c>
      <c r="E33" s="7" t="str">
        <f>$G$7</f>
        <v>tonnes CH4</v>
      </c>
      <c r="F33" s="49">
        <f>D33*$D$21</f>
        <v>7464.96</v>
      </c>
      <c r="G33" s="19" t="s">
        <v>100</v>
      </c>
      <c r="I33" s="43" t="s">
        <v>101</v>
      </c>
      <c r="J33" s="6">
        <v>1.0</v>
      </c>
      <c r="K33" s="19" t="s">
        <v>102</v>
      </c>
    </row>
    <row r="34">
      <c r="B34" s="12"/>
      <c r="C34" s="19" t="s">
        <v>103</v>
      </c>
      <c r="D34" s="49">
        <f>D33*$D$20</f>
        <v>139.34592</v>
      </c>
      <c r="E34" s="19" t="s">
        <v>37</v>
      </c>
      <c r="F34" s="49">
        <f>D34*$D$22</f>
        <v>13934.592</v>
      </c>
      <c r="G34" s="19" t="s">
        <v>100</v>
      </c>
      <c r="I34" s="43" t="s">
        <v>104</v>
      </c>
      <c r="J34" s="50">
        <f>J33*J30</f>
        <v>1</v>
      </c>
      <c r="K34" s="19" t="s">
        <v>105</v>
      </c>
    </row>
    <row r="35">
      <c r="B35" s="12"/>
      <c r="C35" s="3" t="s">
        <v>106</v>
      </c>
      <c r="D35" s="5">
        <f t="shared" ref="D35:D36" si="2">F33-$D$32</f>
        <v>-1541.204384</v>
      </c>
      <c r="I35" s="43" t="s">
        <v>107</v>
      </c>
      <c r="J35" s="22">
        <f>J34*$D$25</f>
        <v>0.4109589041</v>
      </c>
      <c r="K35" s="19" t="s">
        <v>108</v>
      </c>
      <c r="L35" s="19" t="s">
        <v>109</v>
      </c>
    </row>
    <row r="36">
      <c r="B36" s="12"/>
      <c r="C36" s="3" t="s">
        <v>7</v>
      </c>
      <c r="D36" s="5">
        <f t="shared" si="2"/>
        <v>4928.427616</v>
      </c>
      <c r="I36" s="43" t="s">
        <v>8</v>
      </c>
      <c r="J36" s="24">
        <f>J34*$F$7</f>
        <v>1.2109824</v>
      </c>
      <c r="K36" s="29" t="str">
        <f>$G$7</f>
        <v>tonnes CH4</v>
      </c>
    </row>
    <row r="37">
      <c r="B37" s="12"/>
      <c r="C37" s="19"/>
      <c r="I37" s="43" t="s">
        <v>103</v>
      </c>
      <c r="J37" s="24">
        <f>J36*$D$20</f>
        <v>33.9075072</v>
      </c>
      <c r="K37" s="19" t="s">
        <v>37</v>
      </c>
    </row>
    <row r="38">
      <c r="B38" s="12"/>
      <c r="C38" s="19" t="s">
        <v>110</v>
      </c>
      <c r="D38" s="51">
        <v>20000.0</v>
      </c>
      <c r="E38" s="19" t="s">
        <v>111</v>
      </c>
      <c r="F38" s="19" t="s">
        <v>112</v>
      </c>
      <c r="I38" s="52" t="s">
        <v>113</v>
      </c>
      <c r="J38" s="5">
        <f>J37*D36</f>
        <v>167110.6949</v>
      </c>
    </row>
    <row r="39">
      <c r="B39" s="12"/>
      <c r="C39" s="19"/>
      <c r="I39" s="47"/>
    </row>
    <row r="40">
      <c r="B40" s="12"/>
      <c r="C40" s="19" t="s">
        <v>114</v>
      </c>
      <c r="D40" s="53">
        <f t="shared" ref="D40:D41" si="3">$D$32/D33</f>
        <v>1809.687738</v>
      </c>
      <c r="E40" s="19" t="s">
        <v>115</v>
      </c>
      <c r="I40" s="47"/>
    </row>
    <row r="41">
      <c r="B41" s="12"/>
      <c r="C41" s="19" t="s">
        <v>116</v>
      </c>
      <c r="D41" s="53">
        <f t="shared" si="3"/>
        <v>64.63170492</v>
      </c>
      <c r="E41" s="19" t="s">
        <v>115</v>
      </c>
      <c r="I41" s="54"/>
      <c r="J41" s="55"/>
      <c r="K41" s="55"/>
      <c r="L41" s="55"/>
      <c r="M41" s="55"/>
    </row>
    <row r="42">
      <c r="C42" s="56"/>
      <c r="D42" s="57"/>
      <c r="E42" s="57"/>
      <c r="F42" s="57"/>
      <c r="G42" s="5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9" t="s">
        <v>61</v>
      </c>
      <c r="B1" s="19" t="s">
        <v>80</v>
      </c>
      <c r="C1" s="19" t="s">
        <v>117</v>
      </c>
      <c r="D1" s="19" t="s">
        <v>118</v>
      </c>
      <c r="E1" s="19" t="s">
        <v>119</v>
      </c>
    </row>
    <row r="2">
      <c r="A2" s="19">
        <v>30000.0</v>
      </c>
      <c r="B2" s="29">
        <f t="shared" ref="B2:B4" si="1">D2/C2</f>
        <v>6.666666667</v>
      </c>
      <c r="C2" s="19">
        <v>240.0</v>
      </c>
      <c r="D2" s="19">
        <v>1600.0</v>
      </c>
      <c r="E2" s="19">
        <v>2.0240626E7</v>
      </c>
    </row>
    <row r="3">
      <c r="A3" s="19">
        <v>27000.0</v>
      </c>
      <c r="B3" s="29">
        <f t="shared" si="1"/>
        <v>3.333333333</v>
      </c>
      <c r="C3" s="19">
        <v>300.0</v>
      </c>
      <c r="D3" s="19">
        <v>1000.0</v>
      </c>
      <c r="E3" s="19">
        <v>2.0240625E7</v>
      </c>
    </row>
    <row r="4">
      <c r="A4" s="19">
        <v>2100.0</v>
      </c>
      <c r="B4" s="29">
        <f t="shared" si="1"/>
        <v>0.4166666667</v>
      </c>
      <c r="C4" s="19">
        <v>240.0</v>
      </c>
      <c r="D4" s="19">
        <v>100.0</v>
      </c>
      <c r="E4" s="19">
        <v>2.0240712E7</v>
      </c>
    </row>
    <row r="7">
      <c r="H7" s="19" t="s">
        <v>120</v>
      </c>
      <c r="J7" s="19" t="s">
        <v>76</v>
      </c>
    </row>
    <row r="8">
      <c r="H8" s="36">
        <v>20.0</v>
      </c>
      <c r="I8" s="19" t="s">
        <v>80</v>
      </c>
      <c r="J8" s="36">
        <v>25.0</v>
      </c>
      <c r="K8" s="19" t="s">
        <v>81</v>
      </c>
    </row>
    <row r="9">
      <c r="H9" s="58">
        <f>H8*(J9/J8)</f>
        <v>2400</v>
      </c>
      <c r="I9" s="19" t="s">
        <v>80</v>
      </c>
      <c r="J9" s="19">
        <v>3000.0</v>
      </c>
      <c r="K9" s="19" t="s">
        <v>81</v>
      </c>
      <c r="L9" s="14"/>
    </row>
    <row r="10">
      <c r="H10" s="29">
        <f t="shared" ref="H10:H11" si="2">H9*J10</f>
        <v>207360000</v>
      </c>
      <c r="I10" s="19" t="s">
        <v>84</v>
      </c>
      <c r="J10" s="29">
        <f>3600*24</f>
        <v>86400</v>
      </c>
      <c r="K10" s="19" t="s">
        <v>85</v>
      </c>
    </row>
    <row r="11">
      <c r="C11" s="59"/>
      <c r="H11" s="29">
        <f t="shared" si="2"/>
        <v>75686400000</v>
      </c>
      <c r="I11" s="19" t="s">
        <v>86</v>
      </c>
      <c r="J11" s="19">
        <v>365.0</v>
      </c>
      <c r="K11" s="19" t="s">
        <v>82</v>
      </c>
    </row>
    <row r="12">
      <c r="I12" s="19" t="s">
        <v>121</v>
      </c>
    </row>
    <row r="13">
      <c r="L13" s="19" t="s">
        <v>122</v>
      </c>
    </row>
    <row r="14">
      <c r="H14" s="60" t="s">
        <v>123</v>
      </c>
      <c r="L14" s="29">
        <f>H8/J8</f>
        <v>0.8</v>
      </c>
      <c r="M14" s="19" t="s">
        <v>124</v>
      </c>
    </row>
    <row r="15">
      <c r="L15" s="24">
        <f>24*60*60*365</f>
        <v>31536000</v>
      </c>
      <c r="M15" s="19" t="s">
        <v>125</v>
      </c>
    </row>
    <row r="16">
      <c r="L16" s="24">
        <f>L15*L14</f>
        <v>25228800</v>
      </c>
      <c r="M16" s="19" t="s">
        <v>126</v>
      </c>
    </row>
    <row r="17">
      <c r="L17" s="26">
        <f>56*(0.000000004)</f>
        <v>0.000000224</v>
      </c>
      <c r="M17" s="19" t="s">
        <v>127</v>
      </c>
    </row>
    <row r="18">
      <c r="L18" s="26">
        <v>1000000.0</v>
      </c>
      <c r="M18" s="19" t="s">
        <v>128</v>
      </c>
    </row>
    <row r="19">
      <c r="H19" s="60" t="s">
        <v>129</v>
      </c>
      <c r="L19" s="20">
        <f>L18/L17</f>
        <v>4464285714286</v>
      </c>
      <c r="M19" s="19" t="s">
        <v>130</v>
      </c>
    </row>
    <row r="20">
      <c r="L20" s="61">
        <f>L19/L16</f>
        <v>176951.9642</v>
      </c>
      <c r="M20" s="18" t="s">
        <v>131</v>
      </c>
    </row>
    <row r="21">
      <c r="L21" s="23">
        <f>L20/1000</f>
        <v>176.9519642</v>
      </c>
      <c r="M21" s="19" t="s">
        <v>132</v>
      </c>
    </row>
    <row r="24">
      <c r="H24" s="29">
        <f>56*(0.000000004)</f>
        <v>0.000000224</v>
      </c>
      <c r="I24" s="19" t="s">
        <v>133</v>
      </c>
      <c r="L24" s="26">
        <v>2.9E-5</v>
      </c>
      <c r="M24" s="19" t="s">
        <v>134</v>
      </c>
    </row>
    <row r="25">
      <c r="H25" s="62">
        <f>H11*H24</f>
        <v>16953.7536</v>
      </c>
      <c r="I25" s="18" t="s">
        <v>135</v>
      </c>
      <c r="L25" s="19">
        <v>22.4</v>
      </c>
      <c r="M25" s="19" t="s">
        <v>136</v>
      </c>
    </row>
    <row r="26">
      <c r="B26" s="19" t="s">
        <v>137</v>
      </c>
      <c r="C26" s="63">
        <v>100000.0</v>
      </c>
      <c r="L26" s="19">
        <v>2.0</v>
      </c>
      <c r="M26" s="19" t="s">
        <v>138</v>
      </c>
    </row>
    <row r="27">
      <c r="B27" s="19" t="s">
        <v>32</v>
      </c>
      <c r="C27" s="29">
        <f>(0.27*(2.72^(0.0001*C26)))</f>
        <v>5984.843585</v>
      </c>
      <c r="H27" s="19" t="s">
        <v>139</v>
      </c>
      <c r="L27" s="19">
        <v>16.0</v>
      </c>
      <c r="M27" s="19" t="s">
        <v>140</v>
      </c>
    </row>
    <row r="28">
      <c r="L28" s="20">
        <f>L27*L26*L24</f>
        <v>0.000928</v>
      </c>
      <c r="M28" s="19" t="s">
        <v>141</v>
      </c>
    </row>
    <row r="29">
      <c r="H29" s="29">
        <f>1000000/H25</f>
        <v>58.98398807</v>
      </c>
      <c r="I29" s="19" t="s">
        <v>142</v>
      </c>
      <c r="L29" s="26">
        <v>2000.0</v>
      </c>
      <c r="M29" s="19" t="s">
        <v>143</v>
      </c>
    </row>
    <row r="30">
      <c r="H30" s="62">
        <f>H29*J8</f>
        <v>1474.599702</v>
      </c>
      <c r="I30" s="18" t="s">
        <v>144</v>
      </c>
      <c r="L30" s="20">
        <f>L28/L29</f>
        <v>0.000000464</v>
      </c>
      <c r="M30" s="19" t="s">
        <v>145</v>
      </c>
    </row>
  </sheetData>
  <mergeCells count="2">
    <mergeCell ref="H14:J17"/>
    <mergeCell ref="H19:J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4" max="4" width="14.88"/>
    <col customWidth="1" min="5" max="5" width="14.38"/>
    <col customWidth="1" min="6" max="6" width="14.25"/>
  </cols>
  <sheetData>
    <row r="3">
      <c r="A3" s="64"/>
      <c r="B3" s="9" t="s">
        <v>13</v>
      </c>
      <c r="C3" s="16"/>
      <c r="D3" s="16"/>
      <c r="E3" s="16"/>
      <c r="F3" s="16"/>
      <c r="G3" s="17"/>
      <c r="H3" s="65"/>
      <c r="I3" s="9" t="s">
        <v>146</v>
      </c>
      <c r="J3" s="16"/>
      <c r="K3" s="16"/>
      <c r="L3" s="16"/>
      <c r="M3" s="16"/>
      <c r="N3" s="17"/>
      <c r="O3" s="65"/>
      <c r="P3" s="65"/>
      <c r="Q3" s="65"/>
      <c r="R3" s="65"/>
      <c r="S3" s="65"/>
      <c r="T3" s="65"/>
      <c r="U3" s="65"/>
      <c r="V3" s="65"/>
      <c r="W3" s="65"/>
      <c r="X3" s="65"/>
      <c r="Y3" s="65"/>
      <c r="Z3" s="65"/>
    </row>
    <row r="4">
      <c r="B4" s="13"/>
      <c r="C4" s="19" t="s">
        <v>16</v>
      </c>
      <c r="D4" s="19" t="s">
        <v>17</v>
      </c>
      <c r="G4" s="15"/>
      <c r="I4" s="13"/>
      <c r="J4" s="19" t="s">
        <v>147</v>
      </c>
      <c r="N4" s="15"/>
    </row>
    <row r="5">
      <c r="B5" s="13"/>
      <c r="C5" s="19" t="s">
        <v>22</v>
      </c>
      <c r="D5" s="19" t="s">
        <v>23</v>
      </c>
      <c r="E5" s="24">
        <v>1.0</v>
      </c>
      <c r="F5" s="19" t="s">
        <v>24</v>
      </c>
      <c r="G5" s="15"/>
      <c r="I5" s="13"/>
      <c r="J5" s="19" t="s">
        <v>148</v>
      </c>
      <c r="N5" s="15"/>
    </row>
    <row r="6">
      <c r="B6" s="13"/>
      <c r="C6" s="19" t="s">
        <v>28</v>
      </c>
      <c r="D6" s="19" t="s">
        <v>29</v>
      </c>
      <c r="E6" s="24">
        <v>1000.0</v>
      </c>
      <c r="F6" s="19" t="s">
        <v>30</v>
      </c>
      <c r="G6" s="15"/>
      <c r="I6" s="13"/>
      <c r="J6" s="19" t="s">
        <v>149</v>
      </c>
      <c r="N6" s="15"/>
    </row>
    <row r="7">
      <c r="B7" s="13"/>
      <c r="C7" s="19" t="s">
        <v>34</v>
      </c>
      <c r="D7" s="19" t="s">
        <v>35</v>
      </c>
      <c r="E7" s="24">
        <v>1000.0</v>
      </c>
      <c r="F7" s="19" t="s">
        <v>36</v>
      </c>
      <c r="G7" s="15"/>
      <c r="I7" s="13"/>
      <c r="J7" s="19" t="s">
        <v>150</v>
      </c>
      <c r="N7" s="15"/>
    </row>
    <row r="8">
      <c r="B8" s="13"/>
      <c r="C8" s="19" t="s">
        <v>39</v>
      </c>
      <c r="D8" s="19" t="s">
        <v>40</v>
      </c>
      <c r="E8" s="24">
        <f>60*60</f>
        <v>3600</v>
      </c>
      <c r="F8" s="19" t="s">
        <v>41</v>
      </c>
      <c r="G8" s="15"/>
      <c r="I8" s="13"/>
      <c r="J8" s="19" t="s">
        <v>151</v>
      </c>
      <c r="N8" s="15"/>
    </row>
    <row r="9">
      <c r="B9" s="13"/>
      <c r="C9" s="19" t="s">
        <v>44</v>
      </c>
      <c r="D9" s="19" t="s">
        <v>45</v>
      </c>
      <c r="E9" s="24">
        <f>$E$8*$E$6</f>
        <v>3600000</v>
      </c>
      <c r="F9" s="19" t="s">
        <v>41</v>
      </c>
      <c r="G9" s="15"/>
      <c r="I9" s="13"/>
      <c r="J9" s="19" t="s">
        <v>152</v>
      </c>
      <c r="N9" s="15"/>
    </row>
    <row r="10">
      <c r="B10" s="13"/>
      <c r="C10" s="19" t="s">
        <v>25</v>
      </c>
      <c r="D10" s="19" t="s">
        <v>46</v>
      </c>
      <c r="E10" s="24">
        <f>$E$9*$D$19</f>
        <v>31557600000</v>
      </c>
      <c r="F10" s="19" t="s">
        <v>41</v>
      </c>
      <c r="G10" s="15"/>
      <c r="I10" s="13"/>
      <c r="J10" s="19" t="s">
        <v>153</v>
      </c>
      <c r="N10" s="15"/>
    </row>
    <row r="11">
      <c r="B11" s="13"/>
      <c r="C11" s="19" t="s">
        <v>48</v>
      </c>
      <c r="D11" s="19" t="s">
        <v>49</v>
      </c>
      <c r="E11" s="24">
        <f>$E$9*$E$7</f>
        <v>3600000000</v>
      </c>
      <c r="F11" s="19" t="s">
        <v>41</v>
      </c>
      <c r="G11" s="15"/>
      <c r="I11" s="13"/>
      <c r="N11" s="15"/>
    </row>
    <row r="12">
      <c r="B12" s="13"/>
      <c r="C12" s="19" t="s">
        <v>52</v>
      </c>
      <c r="D12" s="19" t="s">
        <v>53</v>
      </c>
      <c r="E12" s="24">
        <f>$E$11*$D$19</f>
        <v>31557600000000</v>
      </c>
      <c r="F12" s="19" t="s">
        <v>41</v>
      </c>
      <c r="G12" s="15"/>
      <c r="I12" s="13"/>
      <c r="N12" s="15"/>
    </row>
    <row r="13">
      <c r="B13" s="13"/>
      <c r="G13" s="15"/>
      <c r="I13" s="66" t="s">
        <v>154</v>
      </c>
      <c r="N13" s="15"/>
    </row>
    <row r="14">
      <c r="B14" s="13"/>
      <c r="C14" s="19" t="s">
        <v>58</v>
      </c>
      <c r="D14" s="19" t="s">
        <v>59</v>
      </c>
      <c r="E14" s="19">
        <v>1.0</v>
      </c>
      <c r="F14" s="19" t="s">
        <v>58</v>
      </c>
      <c r="G14" s="15"/>
      <c r="I14" s="30"/>
      <c r="J14" s="31" t="s">
        <v>155</v>
      </c>
      <c r="K14" s="32"/>
      <c r="L14" s="32"/>
      <c r="M14" s="32"/>
      <c r="N14" s="34"/>
    </row>
    <row r="15">
      <c r="B15" s="13"/>
      <c r="C15" s="19" t="s">
        <v>61</v>
      </c>
      <c r="D15" s="19" t="s">
        <v>62</v>
      </c>
      <c r="E15" s="29">
        <f>1/1000</f>
        <v>0.001</v>
      </c>
      <c r="F15" s="19" t="s">
        <v>58</v>
      </c>
      <c r="G15" s="15"/>
    </row>
    <row r="16">
      <c r="B16" s="13"/>
      <c r="G16" s="15"/>
      <c r="I16" s="19"/>
      <c r="N16" s="19"/>
    </row>
    <row r="17">
      <c r="B17" s="13"/>
      <c r="C17" s="19">
        <v>100.0</v>
      </c>
      <c r="D17" s="19" t="s">
        <v>63</v>
      </c>
      <c r="E17" s="24">
        <f>1000000*C17</f>
        <v>100000000</v>
      </c>
      <c r="F17" s="19" t="s">
        <v>64</v>
      </c>
      <c r="G17" s="15"/>
      <c r="I17" s="19"/>
      <c r="N17" s="19"/>
    </row>
    <row r="18">
      <c r="B18" s="13"/>
      <c r="G18" s="15"/>
      <c r="I18" s="1" t="s">
        <v>156</v>
      </c>
      <c r="J18" s="58"/>
      <c r="K18" s="58"/>
      <c r="L18" s="58"/>
      <c r="N18" s="67" t="s">
        <v>157</v>
      </c>
    </row>
    <row r="19">
      <c r="B19" s="13"/>
      <c r="C19" s="19" t="s">
        <v>65</v>
      </c>
      <c r="D19" s="24">
        <f>365.25*24</f>
        <v>8766</v>
      </c>
      <c r="G19" s="15"/>
      <c r="I19" s="3" t="s">
        <v>158</v>
      </c>
      <c r="J19" s="7"/>
      <c r="K19" s="7"/>
      <c r="L19" s="7"/>
      <c r="N19" s="68" t="s">
        <v>157</v>
      </c>
    </row>
    <row r="20">
      <c r="B20" s="13"/>
      <c r="C20" s="19" t="s">
        <v>67</v>
      </c>
      <c r="D20" s="24">
        <f>D19/2</f>
        <v>4383</v>
      </c>
      <c r="G20" s="15"/>
    </row>
    <row r="21">
      <c r="B21" s="30"/>
      <c r="C21" s="32"/>
      <c r="D21" s="32"/>
      <c r="E21" s="32"/>
      <c r="F21" s="32"/>
      <c r="G21" s="34"/>
    </row>
    <row r="23">
      <c r="A23" s="19"/>
      <c r="B23" s="9" t="s">
        <v>159</v>
      </c>
      <c r="C23" s="10"/>
      <c r="D23" s="10"/>
      <c r="E23" s="10"/>
      <c r="F23" s="10"/>
      <c r="G23" s="10"/>
      <c r="H23" s="10"/>
      <c r="I23" s="10"/>
      <c r="J23" s="10"/>
      <c r="K23" s="11"/>
    </row>
    <row r="24">
      <c r="B24" s="13"/>
      <c r="C24" s="14"/>
      <c r="D24" s="14"/>
      <c r="E24" s="14"/>
      <c r="F24" s="14"/>
      <c r="K24" s="15"/>
    </row>
    <row r="25">
      <c r="B25" s="13"/>
      <c r="C25" s="41" t="s">
        <v>15</v>
      </c>
      <c r="D25" s="14"/>
      <c r="E25" s="14"/>
      <c r="F25" s="14"/>
      <c r="K25" s="15"/>
    </row>
    <row r="26">
      <c r="B26" s="13"/>
      <c r="D26" s="14" t="s">
        <v>18</v>
      </c>
      <c r="E26" s="14" t="s">
        <v>19</v>
      </c>
      <c r="F26" s="14" t="s">
        <v>20</v>
      </c>
      <c r="G26" s="14" t="s">
        <v>19</v>
      </c>
      <c r="H26" s="14" t="s">
        <v>21</v>
      </c>
      <c r="K26" s="15"/>
    </row>
    <row r="27">
      <c r="B27" s="13"/>
      <c r="D27" s="19">
        <v>1.0</v>
      </c>
      <c r="E27" s="19" t="s">
        <v>25</v>
      </c>
      <c r="F27" s="1">
        <v>3.0</v>
      </c>
      <c r="G27" s="19" t="s">
        <v>26</v>
      </c>
      <c r="H27" s="69">
        <v>2000.0</v>
      </c>
      <c r="I27" s="19" t="s">
        <v>61</v>
      </c>
      <c r="K27" s="15"/>
    </row>
    <row r="28">
      <c r="B28" s="13"/>
      <c r="D28" s="22">
        <v>1.0</v>
      </c>
      <c r="E28" s="19" t="s">
        <v>31</v>
      </c>
      <c r="F28" s="24">
        <f>F27*$E$7</f>
        <v>3000</v>
      </c>
      <c r="G28" s="19" t="s">
        <v>26</v>
      </c>
      <c r="H28" s="24">
        <f t="shared" ref="H28:I28" si="1">H$27</f>
        <v>2000</v>
      </c>
      <c r="I28" s="24" t="str">
        <f t="shared" si="1"/>
        <v>ppb</v>
      </c>
      <c r="K28" s="15"/>
    </row>
    <row r="29">
      <c r="B29" s="13"/>
      <c r="D29" s="19">
        <v>1.0</v>
      </c>
      <c r="E29" s="19" t="s">
        <v>25</v>
      </c>
      <c r="F29" s="19">
        <f>F27*D48</f>
        <v>84</v>
      </c>
      <c r="G29" s="19" t="s">
        <v>37</v>
      </c>
      <c r="H29" s="24">
        <f t="shared" ref="H29:I29" si="2">H$27</f>
        <v>2000</v>
      </c>
      <c r="I29" s="24" t="str">
        <f t="shared" si="2"/>
        <v>ppb</v>
      </c>
      <c r="K29" s="15"/>
    </row>
    <row r="30">
      <c r="B30" s="13"/>
      <c r="D30" s="22">
        <v>1.0</v>
      </c>
      <c r="E30" s="19" t="s">
        <v>31</v>
      </c>
      <c r="F30" s="24">
        <f>F29*$E$7</f>
        <v>84000</v>
      </c>
      <c r="G30" s="19" t="s">
        <v>37</v>
      </c>
      <c r="H30" s="24">
        <f t="shared" ref="H30:I30" si="3">H$27</f>
        <v>2000</v>
      </c>
      <c r="I30" s="24" t="str">
        <f t="shared" si="3"/>
        <v>ppb</v>
      </c>
      <c r="K30" s="15"/>
    </row>
    <row r="31">
      <c r="B31" s="13"/>
      <c r="K31" s="15"/>
    </row>
    <row r="32">
      <c r="B32" s="13"/>
      <c r="D32" s="70">
        <f>$E$10/F27</f>
        <v>10519200000</v>
      </c>
      <c r="E32" s="19" t="s">
        <v>47</v>
      </c>
      <c r="H32" s="24">
        <f t="shared" ref="H32:I32" si="4">H$27</f>
        <v>2000</v>
      </c>
      <c r="I32" s="24" t="str">
        <f t="shared" si="4"/>
        <v>ppb</v>
      </c>
      <c r="K32" s="15"/>
    </row>
    <row r="33">
      <c r="B33" s="13"/>
      <c r="D33" s="24">
        <f>$D$32/$D$48</f>
        <v>375685714.3</v>
      </c>
      <c r="E33" s="19" t="s">
        <v>50</v>
      </c>
      <c r="H33" s="24">
        <f t="shared" ref="H33:I33" si="5">H$27</f>
        <v>2000</v>
      </c>
      <c r="I33" s="24" t="str">
        <f t="shared" si="5"/>
        <v>ppb</v>
      </c>
      <c r="K33" s="15"/>
    </row>
    <row r="34">
      <c r="B34" s="13"/>
      <c r="K34" s="15"/>
    </row>
    <row r="35">
      <c r="B35" s="13"/>
      <c r="D35" s="19" t="s">
        <v>160</v>
      </c>
      <c r="E35" s="19" t="s">
        <v>161</v>
      </c>
      <c r="K35" s="15"/>
    </row>
    <row r="36">
      <c r="B36" s="13"/>
      <c r="K36" s="15"/>
    </row>
    <row r="37">
      <c r="B37" s="13"/>
      <c r="K37" s="15"/>
    </row>
    <row r="38">
      <c r="B38" s="13"/>
      <c r="K38" s="15"/>
    </row>
    <row r="39">
      <c r="B39" s="13"/>
      <c r="K39" s="15"/>
    </row>
    <row r="40">
      <c r="B40" s="13"/>
      <c r="K40" s="15"/>
    </row>
    <row r="41">
      <c r="B41" s="13"/>
      <c r="C41" s="41" t="s">
        <v>57</v>
      </c>
      <c r="K41" s="15"/>
    </row>
    <row r="42">
      <c r="B42" s="13"/>
      <c r="C42" s="19" t="s">
        <v>162</v>
      </c>
      <c r="D42" s="71">
        <v>30.0</v>
      </c>
      <c r="E42" s="19" t="s">
        <v>48</v>
      </c>
      <c r="F42" s="19" t="s">
        <v>163</v>
      </c>
      <c r="K42" s="15"/>
    </row>
    <row r="43">
      <c r="B43" s="13"/>
      <c r="C43" s="19" t="s">
        <v>60</v>
      </c>
      <c r="D43" s="72">
        <v>0.25</v>
      </c>
      <c r="E43" s="19" t="s">
        <v>44</v>
      </c>
      <c r="F43" s="19" t="s">
        <v>164</v>
      </c>
      <c r="K43" s="15"/>
    </row>
    <row r="44">
      <c r="B44" s="13"/>
      <c r="C44" s="19" t="s">
        <v>162</v>
      </c>
      <c r="D44" s="48">
        <f>(D42/E7)*$D$19</f>
        <v>262.98</v>
      </c>
      <c r="E44" s="19" t="s">
        <v>25</v>
      </c>
      <c r="K44" s="15"/>
    </row>
    <row r="45">
      <c r="B45" s="13"/>
      <c r="C45" s="19" t="s">
        <v>60</v>
      </c>
      <c r="D45" s="53">
        <f>D43*$D$19</f>
        <v>2191.5</v>
      </c>
      <c r="E45" s="19" t="s">
        <v>25</v>
      </c>
      <c r="K45" s="15"/>
    </row>
    <row r="46">
      <c r="B46" s="13"/>
      <c r="C46" s="40"/>
      <c r="K46" s="15"/>
    </row>
    <row r="47">
      <c r="B47" s="13"/>
      <c r="C47" s="41" t="s">
        <v>66</v>
      </c>
      <c r="K47" s="15"/>
    </row>
    <row r="48">
      <c r="B48" s="13"/>
      <c r="C48" s="19" t="s">
        <v>68</v>
      </c>
      <c r="D48" s="1">
        <v>28.0</v>
      </c>
      <c r="K48" s="15"/>
    </row>
    <row r="49">
      <c r="B49" s="13"/>
      <c r="C49" s="40"/>
      <c r="D49" s="71">
        <v>1200.0</v>
      </c>
      <c r="E49" s="19" t="s">
        <v>70</v>
      </c>
      <c r="F49" s="19" t="s">
        <v>165</v>
      </c>
      <c r="K49" s="15"/>
    </row>
    <row r="50">
      <c r="B50" s="13"/>
      <c r="C50" s="40"/>
      <c r="D50" s="71">
        <v>100.0</v>
      </c>
      <c r="E50" s="19" t="s">
        <v>72</v>
      </c>
      <c r="F50" s="19" t="s">
        <v>73</v>
      </c>
      <c r="K50" s="15"/>
    </row>
    <row r="51">
      <c r="B51" s="13"/>
      <c r="C51" s="40"/>
      <c r="K51" s="15"/>
    </row>
    <row r="52">
      <c r="B52" s="13"/>
      <c r="C52" s="41" t="s">
        <v>77</v>
      </c>
      <c r="D52" s="1">
        <v>250.0</v>
      </c>
      <c r="E52" s="19" t="s">
        <v>78</v>
      </c>
      <c r="F52" s="19" t="s">
        <v>79</v>
      </c>
      <c r="K52" s="15"/>
    </row>
    <row r="53">
      <c r="B53" s="13"/>
      <c r="C53" s="40" t="s">
        <v>82</v>
      </c>
      <c r="D53" s="37">
        <f>D52/365</f>
        <v>0.6849315068</v>
      </c>
      <c r="E53" s="19" t="s">
        <v>83</v>
      </c>
      <c r="K53" s="15"/>
    </row>
    <row r="54">
      <c r="B54" s="13"/>
      <c r="C54" s="40"/>
      <c r="K54" s="15"/>
    </row>
    <row r="55">
      <c r="B55" s="13"/>
      <c r="C55" s="41" t="s">
        <v>166</v>
      </c>
      <c r="K55" s="15"/>
    </row>
    <row r="56">
      <c r="B56" s="13"/>
      <c r="C56" s="19" t="s">
        <v>167</v>
      </c>
      <c r="D56" s="71">
        <v>1000000.0</v>
      </c>
      <c r="E56" s="19" t="s">
        <v>168</v>
      </c>
      <c r="F56" s="19"/>
      <c r="K56" s="15"/>
    </row>
    <row r="57">
      <c r="B57" s="13"/>
      <c r="C57" s="19" t="s">
        <v>169</v>
      </c>
      <c r="D57" s="1">
        <v>4.0</v>
      </c>
      <c r="E57" s="19" t="s">
        <v>170</v>
      </c>
      <c r="F57" s="19" t="s">
        <v>171</v>
      </c>
      <c r="K57" s="15"/>
    </row>
    <row r="58">
      <c r="B58" s="13"/>
      <c r="C58" s="19" t="s">
        <v>172</v>
      </c>
      <c r="D58" s="73">
        <v>0.4</v>
      </c>
      <c r="E58" s="19" t="s">
        <v>173</v>
      </c>
      <c r="K58" s="15"/>
    </row>
    <row r="59">
      <c r="B59" s="13"/>
      <c r="C59" s="19" t="s">
        <v>174</v>
      </c>
      <c r="D59" s="1">
        <v>25.0</v>
      </c>
      <c r="E59" s="19" t="s">
        <v>175</v>
      </c>
      <c r="K59" s="15"/>
    </row>
    <row r="60">
      <c r="B60" s="13"/>
      <c r="C60" s="40"/>
      <c r="K60" s="15"/>
    </row>
    <row r="61">
      <c r="B61" s="13"/>
      <c r="C61" s="41" t="s">
        <v>176</v>
      </c>
      <c r="K61" s="15"/>
    </row>
    <row r="62">
      <c r="B62" s="13"/>
      <c r="C62" s="19" t="s">
        <v>177</v>
      </c>
      <c r="D62" s="1">
        <v>2.0</v>
      </c>
      <c r="E62" s="19" t="s">
        <v>178</v>
      </c>
      <c r="F62" s="19"/>
      <c r="K62" s="15"/>
    </row>
    <row r="63">
      <c r="B63" s="13"/>
      <c r="C63" s="19" t="s">
        <v>179</v>
      </c>
      <c r="D63" s="1">
        <v>500.0</v>
      </c>
      <c r="E63" s="19" t="s">
        <v>58</v>
      </c>
      <c r="F63" s="19" t="s">
        <v>180</v>
      </c>
      <c r="K63" s="15"/>
    </row>
    <row r="64">
      <c r="B64" s="30"/>
      <c r="C64" s="74"/>
      <c r="D64" s="32"/>
      <c r="E64" s="32"/>
      <c r="F64" s="32"/>
      <c r="G64" s="32"/>
      <c r="H64" s="32"/>
      <c r="I64" s="32"/>
      <c r="J64" s="32"/>
      <c r="K64" s="34"/>
    </row>
    <row r="65">
      <c r="C65" s="40"/>
    </row>
    <row r="66">
      <c r="C66" s="40"/>
    </row>
    <row r="67">
      <c r="A67" s="41" t="s">
        <v>181</v>
      </c>
      <c r="C67" s="40"/>
    </row>
    <row r="68">
      <c r="C68" s="40"/>
    </row>
    <row r="69">
      <c r="B69" s="41" t="s">
        <v>87</v>
      </c>
      <c r="C69" s="40"/>
      <c r="I69" s="42" t="s">
        <v>88</v>
      </c>
    </row>
    <row r="70">
      <c r="C70" s="19" t="s">
        <v>90</v>
      </c>
      <c r="D70" s="1">
        <v>60.0</v>
      </c>
      <c r="E70" s="19" t="s">
        <v>34</v>
      </c>
      <c r="I70" s="43" t="s">
        <v>91</v>
      </c>
      <c r="J70" s="69">
        <v>80000.0</v>
      </c>
      <c r="K70" s="19" t="s">
        <v>92</v>
      </c>
    </row>
    <row r="71">
      <c r="C71" s="19" t="s">
        <v>38</v>
      </c>
      <c r="D71" s="1">
        <v>100.0</v>
      </c>
      <c r="E71" s="19" t="s">
        <v>28</v>
      </c>
      <c r="F71" s="45">
        <f>D71/(D70*$E$7)</f>
        <v>0.001666666667</v>
      </c>
      <c r="G71" s="19" t="s">
        <v>93</v>
      </c>
      <c r="I71" s="43" t="s">
        <v>182</v>
      </c>
      <c r="J71" s="2">
        <v>20000.0</v>
      </c>
      <c r="K71" s="19" t="s">
        <v>94</v>
      </c>
      <c r="M71" s="19" t="s">
        <v>112</v>
      </c>
    </row>
    <row r="72">
      <c r="C72" s="19" t="s">
        <v>95</v>
      </c>
      <c r="D72" s="46">
        <f>D71*$D$53</f>
        <v>68.49315068</v>
      </c>
      <c r="E72" s="19" t="s">
        <v>25</v>
      </c>
      <c r="F72" s="19" t="s">
        <v>96</v>
      </c>
      <c r="I72" s="47"/>
      <c r="J72" s="19" t="s">
        <v>97</v>
      </c>
    </row>
    <row r="73">
      <c r="C73" s="19" t="s">
        <v>98</v>
      </c>
      <c r="D73" s="48">
        <f>D72*$D$45</f>
        <v>150102.7397</v>
      </c>
      <c r="E73" s="19" t="s">
        <v>99</v>
      </c>
      <c r="I73" s="47"/>
    </row>
    <row r="74">
      <c r="C74" s="19" t="s">
        <v>8</v>
      </c>
      <c r="D74" s="24">
        <f>D72*$F$27</f>
        <v>205.4794521</v>
      </c>
      <c r="E74" s="29" t="str">
        <f>$G$27</f>
        <v>tonnes CH4</v>
      </c>
      <c r="F74" s="48">
        <f>D74*$D$49</f>
        <v>246575.3425</v>
      </c>
      <c r="G74" s="19" t="s">
        <v>100</v>
      </c>
      <c r="I74" s="43" t="s">
        <v>101</v>
      </c>
      <c r="J74" s="1">
        <v>1.0</v>
      </c>
      <c r="K74" s="19" t="s">
        <v>102</v>
      </c>
      <c r="M74" s="19" t="s">
        <v>112</v>
      </c>
    </row>
    <row r="75">
      <c r="C75" s="19" t="s">
        <v>103</v>
      </c>
      <c r="D75" s="24">
        <f>D74*$D$48</f>
        <v>5753.424658</v>
      </c>
      <c r="E75" s="19" t="s">
        <v>37</v>
      </c>
      <c r="F75" s="48">
        <f>D75*$D$50</f>
        <v>575342.4658</v>
      </c>
      <c r="G75" s="19" t="s">
        <v>100</v>
      </c>
      <c r="I75" s="43" t="s">
        <v>104</v>
      </c>
      <c r="J75" s="2">
        <f>J74*J71</f>
        <v>20000</v>
      </c>
      <c r="K75" s="19" t="s">
        <v>105</v>
      </c>
    </row>
    <row r="76">
      <c r="C76" s="19" t="s">
        <v>106</v>
      </c>
      <c r="D76" s="48">
        <f t="shared" ref="D76:D77" si="6">F74-$D$73</f>
        <v>96472.60274</v>
      </c>
      <c r="I76" s="43" t="s">
        <v>107</v>
      </c>
      <c r="J76" s="22">
        <f>J75*$D$53</f>
        <v>13698.63014</v>
      </c>
      <c r="K76" s="19" t="s">
        <v>108</v>
      </c>
      <c r="M76" s="19" t="s">
        <v>183</v>
      </c>
    </row>
    <row r="77">
      <c r="C77" s="19" t="s">
        <v>7</v>
      </c>
      <c r="D77" s="48">
        <f t="shared" si="6"/>
        <v>425239.726</v>
      </c>
      <c r="I77" s="43" t="s">
        <v>8</v>
      </c>
      <c r="J77" s="24">
        <f>J75*$F$27</f>
        <v>60000</v>
      </c>
      <c r="K77" s="29" t="str">
        <f>$G$27</f>
        <v>tonnes CH4</v>
      </c>
    </row>
    <row r="78">
      <c r="C78" s="19"/>
      <c r="I78" s="43" t="s">
        <v>103</v>
      </c>
      <c r="J78" s="24">
        <f>J77*$D$48</f>
        <v>1680000</v>
      </c>
      <c r="K78" s="19" t="s">
        <v>37</v>
      </c>
    </row>
    <row r="79">
      <c r="C79" s="19" t="s">
        <v>110</v>
      </c>
      <c r="D79" s="69">
        <v>20000.0</v>
      </c>
      <c r="E79" s="19" t="s">
        <v>111</v>
      </c>
      <c r="F79" s="19" t="s">
        <v>112</v>
      </c>
      <c r="I79" s="47"/>
    </row>
    <row r="80">
      <c r="C80" s="19"/>
      <c r="I80" s="47"/>
    </row>
    <row r="81">
      <c r="C81" s="19" t="s">
        <v>114</v>
      </c>
      <c r="D81" s="53">
        <f t="shared" ref="D81:D82" si="7">$D$73/D74</f>
        <v>730.5</v>
      </c>
      <c r="E81" s="19" t="s">
        <v>115</v>
      </c>
      <c r="I81" s="47"/>
    </row>
    <row r="82">
      <c r="C82" s="19" t="s">
        <v>116</v>
      </c>
      <c r="D82" s="53">
        <f t="shared" si="7"/>
        <v>26.08928571</v>
      </c>
      <c r="E82" s="19" t="s">
        <v>115</v>
      </c>
      <c r="I82" s="54" t="s">
        <v>184</v>
      </c>
      <c r="J82" s="55"/>
      <c r="K82" s="55"/>
      <c r="L82" s="55"/>
      <c r="M82" s="55"/>
    </row>
    <row r="83">
      <c r="B83" s="57"/>
      <c r="C83" s="56"/>
      <c r="D83" s="57"/>
      <c r="E83" s="57"/>
      <c r="F83" s="57"/>
      <c r="G83" s="57"/>
      <c r="I83" s="75"/>
    </row>
    <row r="84">
      <c r="C84" s="19"/>
      <c r="I84" s="47"/>
    </row>
    <row r="85">
      <c r="B85" s="41" t="s">
        <v>185</v>
      </c>
      <c r="C85" s="40"/>
      <c r="I85" s="76" t="s">
        <v>186</v>
      </c>
      <c r="J85" s="40"/>
    </row>
    <row r="86">
      <c r="C86" s="19" t="s">
        <v>187</v>
      </c>
      <c r="D86" s="1">
        <v>100.0</v>
      </c>
      <c r="E86" s="19" t="s">
        <v>34</v>
      </c>
      <c r="I86" s="47"/>
      <c r="J86" s="19" t="s">
        <v>187</v>
      </c>
      <c r="K86" s="24">
        <f>D86/(D91/$E$17)</f>
        <v>83333.33333</v>
      </c>
      <c r="L86" s="19" t="s">
        <v>34</v>
      </c>
      <c r="M86" s="19" t="s">
        <v>188</v>
      </c>
    </row>
    <row r="87">
      <c r="C87" s="19" t="s">
        <v>189</v>
      </c>
      <c r="D87" s="24">
        <f>D86*$D$57</f>
        <v>400</v>
      </c>
      <c r="E87" s="19" t="s">
        <v>190</v>
      </c>
      <c r="F87" s="45"/>
      <c r="I87" s="47"/>
      <c r="J87" s="19" t="s">
        <v>189</v>
      </c>
      <c r="K87" s="24">
        <f>K86*$D$57</f>
        <v>333333.3333</v>
      </c>
      <c r="L87" s="19" t="s">
        <v>190</v>
      </c>
      <c r="N87" s="19" t="s">
        <v>191</v>
      </c>
      <c r="O87" s="22" t="s">
        <v>192</v>
      </c>
    </row>
    <row r="88">
      <c r="C88" s="19" t="s">
        <v>193</v>
      </c>
      <c r="D88" s="24">
        <f>D86*$D$58*$E$7</f>
        <v>40000</v>
      </c>
      <c r="E88" s="19" t="s">
        <v>28</v>
      </c>
      <c r="F88" s="45"/>
      <c r="I88" s="47"/>
      <c r="J88" s="19" t="s">
        <v>193</v>
      </c>
      <c r="K88" s="24">
        <f>K86*$D$58*$E$7</f>
        <v>33333333.33</v>
      </c>
      <c r="L88" s="19" t="s">
        <v>28</v>
      </c>
      <c r="M88" s="45"/>
      <c r="N88" s="19" t="s">
        <v>194</v>
      </c>
      <c r="O88" s="19" t="s">
        <v>195</v>
      </c>
    </row>
    <row r="89">
      <c r="C89" s="19" t="s">
        <v>95</v>
      </c>
      <c r="D89" s="24">
        <f>D88</f>
        <v>40000</v>
      </c>
      <c r="E89" s="19" t="s">
        <v>25</v>
      </c>
      <c r="I89" s="47"/>
      <c r="J89" s="19" t="s">
        <v>95</v>
      </c>
      <c r="K89" s="24">
        <f>K88</f>
        <v>33333333.33</v>
      </c>
      <c r="L89" s="19" t="s">
        <v>25</v>
      </c>
    </row>
    <row r="90">
      <c r="C90" s="19" t="s">
        <v>98</v>
      </c>
      <c r="D90" s="48">
        <f>((D86*$D$56)/$D$59)/D89</f>
        <v>100</v>
      </c>
      <c r="E90" s="19" t="s">
        <v>99</v>
      </c>
      <c r="I90" s="47"/>
      <c r="J90" s="19" t="s">
        <v>196</v>
      </c>
      <c r="K90" s="48">
        <f>((K86*$D$56)/$D$59)/K89</f>
        <v>100</v>
      </c>
      <c r="L90" s="19" t="s">
        <v>25</v>
      </c>
    </row>
    <row r="91">
      <c r="C91" s="19" t="s">
        <v>8</v>
      </c>
      <c r="D91" s="24">
        <f>D89*$F$27</f>
        <v>120000</v>
      </c>
      <c r="E91" s="19" t="s">
        <v>26</v>
      </c>
      <c r="F91" s="48">
        <f>D91*$D$49</f>
        <v>144000000</v>
      </c>
      <c r="I91" s="47"/>
      <c r="J91" s="19" t="s">
        <v>8</v>
      </c>
      <c r="K91" s="24">
        <f>K89*$F$27</f>
        <v>100000000</v>
      </c>
      <c r="L91" s="19" t="s">
        <v>26</v>
      </c>
    </row>
    <row r="92">
      <c r="C92" s="19" t="s">
        <v>103</v>
      </c>
      <c r="D92" s="24">
        <f>D91*$D$48</f>
        <v>3360000</v>
      </c>
      <c r="E92" s="19" t="s">
        <v>37</v>
      </c>
      <c r="F92" s="48">
        <f>D92*$D$50</f>
        <v>336000000</v>
      </c>
      <c r="I92" s="47"/>
      <c r="J92" s="19" t="s">
        <v>103</v>
      </c>
      <c r="K92" s="24">
        <f>K91*$D$48</f>
        <v>2800000000</v>
      </c>
      <c r="L92" s="19" t="s">
        <v>37</v>
      </c>
    </row>
    <row r="93">
      <c r="C93" s="19" t="s">
        <v>106</v>
      </c>
      <c r="D93" s="48">
        <f t="shared" ref="D93:D94" si="8">F91-$D$73</f>
        <v>143849897.3</v>
      </c>
      <c r="I93" s="47"/>
    </row>
    <row r="94">
      <c r="C94" s="19" t="s">
        <v>7</v>
      </c>
      <c r="D94" s="48">
        <f t="shared" si="8"/>
        <v>335849897.3</v>
      </c>
      <c r="I94" s="47"/>
    </row>
    <row r="95">
      <c r="C95" s="19"/>
      <c r="I95" s="47"/>
      <c r="J95" s="19"/>
    </row>
    <row r="96">
      <c r="C96" s="19" t="s">
        <v>114</v>
      </c>
      <c r="D96" s="77">
        <f t="shared" ref="D96:D97" si="9">$D$73/D91</f>
        <v>1.250856164</v>
      </c>
      <c r="E96" s="19" t="s">
        <v>115</v>
      </c>
      <c r="I96" s="47"/>
      <c r="J96" s="19" t="s">
        <v>114</v>
      </c>
      <c r="K96" s="77">
        <f t="shared" ref="K96:K97" si="10">$D$73/K91</f>
        <v>0.001501027397</v>
      </c>
      <c r="L96" s="19" t="s">
        <v>115</v>
      </c>
      <c r="M96" s="3" t="s">
        <v>197</v>
      </c>
      <c r="N96" s="7"/>
      <c r="O96" s="7"/>
      <c r="P96" s="7"/>
    </row>
    <row r="97">
      <c r="C97" s="19" t="s">
        <v>116</v>
      </c>
      <c r="D97" s="77">
        <f t="shared" si="9"/>
        <v>0.04467343444</v>
      </c>
      <c r="E97" s="19" t="s">
        <v>115</v>
      </c>
      <c r="I97" s="47"/>
      <c r="J97" s="19" t="s">
        <v>116</v>
      </c>
      <c r="K97" s="77">
        <f t="shared" si="10"/>
        <v>0.00005360812133</v>
      </c>
      <c r="L97" s="19" t="s">
        <v>115</v>
      </c>
    </row>
    <row r="98">
      <c r="B98" s="57"/>
      <c r="C98" s="56"/>
      <c r="D98" s="57"/>
      <c r="E98" s="57"/>
      <c r="F98" s="57"/>
      <c r="G98" s="57"/>
      <c r="I98" s="75"/>
    </row>
    <row r="99">
      <c r="I99" s="47"/>
    </row>
    <row r="100">
      <c r="B100" s="41" t="s">
        <v>198</v>
      </c>
      <c r="C100" s="40"/>
      <c r="H100" s="19"/>
      <c r="I100" s="76" t="s">
        <v>199</v>
      </c>
      <c r="L100" s="14" t="s">
        <v>200</v>
      </c>
    </row>
    <row r="101">
      <c r="C101" s="19" t="s">
        <v>187</v>
      </c>
      <c r="D101" s="1">
        <v>100.0</v>
      </c>
      <c r="E101" s="19" t="s">
        <v>34</v>
      </c>
      <c r="I101" s="43" t="s">
        <v>187</v>
      </c>
      <c r="J101" s="24">
        <f>D101*($E$17/D108)</f>
        <v>333.3333333</v>
      </c>
      <c r="K101" s="19" t="s">
        <v>34</v>
      </c>
    </row>
    <row r="102">
      <c r="C102" s="19" t="s">
        <v>189</v>
      </c>
      <c r="D102" s="24">
        <f>D101*$D$57</f>
        <v>400</v>
      </c>
      <c r="E102" s="19" t="s">
        <v>190</v>
      </c>
      <c r="F102" s="19" t="s">
        <v>201</v>
      </c>
      <c r="I102" s="43" t="s">
        <v>189</v>
      </c>
      <c r="J102" s="24">
        <f>J101*$D$57</f>
        <v>1333.333333</v>
      </c>
      <c r="K102" s="19" t="s">
        <v>190</v>
      </c>
      <c r="L102" s="19" t="s">
        <v>201</v>
      </c>
    </row>
    <row r="103">
      <c r="C103" s="19" t="s">
        <v>193</v>
      </c>
      <c r="D103" s="24">
        <f>D101*$D$58*$E$7</f>
        <v>40000</v>
      </c>
      <c r="E103" s="19" t="s">
        <v>28</v>
      </c>
      <c r="F103" s="45"/>
      <c r="I103" s="43" t="s">
        <v>193</v>
      </c>
      <c r="J103" s="24">
        <f>J101*$D$58*$E$7</f>
        <v>133333.3333</v>
      </c>
      <c r="K103" s="19" t="s">
        <v>28</v>
      </c>
      <c r="L103" s="45"/>
    </row>
    <row r="104">
      <c r="C104" s="19" t="s">
        <v>95</v>
      </c>
      <c r="D104" s="24">
        <f>D103</f>
        <v>40000</v>
      </c>
      <c r="E104" s="19" t="s">
        <v>25</v>
      </c>
      <c r="I104" s="43" t="s">
        <v>95</v>
      </c>
      <c r="J104" s="24">
        <f>J103</f>
        <v>133333.3333</v>
      </c>
      <c r="K104" s="19" t="s">
        <v>25</v>
      </c>
    </row>
    <row r="105">
      <c r="C105" s="19" t="s">
        <v>202</v>
      </c>
      <c r="D105" s="22">
        <v>4.0</v>
      </c>
      <c r="E105" s="19" t="s">
        <v>203</v>
      </c>
      <c r="I105" s="43" t="s">
        <v>202</v>
      </c>
      <c r="J105" s="22">
        <v>4.0</v>
      </c>
      <c r="K105" s="19" t="s">
        <v>203</v>
      </c>
    </row>
    <row r="106">
      <c r="C106" s="19" t="s">
        <v>98</v>
      </c>
      <c r="D106" s="48">
        <f>D105*((D101*$D$56)/$D$59)/D104</f>
        <v>400</v>
      </c>
      <c r="E106" s="19" t="s">
        <v>99</v>
      </c>
      <c r="I106" s="43" t="s">
        <v>196</v>
      </c>
      <c r="J106" s="48">
        <f>J105*((J101*$D$56)/$D$59)/J104</f>
        <v>400</v>
      </c>
      <c r="K106" s="19" t="s">
        <v>25</v>
      </c>
    </row>
    <row r="107">
      <c r="C107" s="19" t="s">
        <v>204</v>
      </c>
      <c r="D107" s="2">
        <v>500.0</v>
      </c>
      <c r="E107" s="19" t="s">
        <v>58</v>
      </c>
      <c r="I107" s="43" t="s">
        <v>204</v>
      </c>
      <c r="J107" s="2">
        <f>D107</f>
        <v>500</v>
      </c>
      <c r="K107" s="19" t="s">
        <v>58</v>
      </c>
    </row>
    <row r="108">
      <c r="C108" s="19" t="s">
        <v>8</v>
      </c>
      <c r="D108" s="24">
        <f>D104*$F$27*(1000*D107/$H$27)</f>
        <v>30000000</v>
      </c>
      <c r="E108" s="19" t="s">
        <v>26</v>
      </c>
      <c r="F108" s="48">
        <f>D108*$D$49</f>
        <v>36000000000</v>
      </c>
      <c r="I108" s="43" t="s">
        <v>8</v>
      </c>
      <c r="J108" s="24">
        <f>J104*$F$27*(1000*J107/$H$27)</f>
        <v>100000000</v>
      </c>
      <c r="K108" s="19" t="s">
        <v>26</v>
      </c>
    </row>
    <row r="109">
      <c r="C109" s="19" t="s">
        <v>103</v>
      </c>
      <c r="D109" s="24">
        <f>D108*$D$48</f>
        <v>840000000</v>
      </c>
      <c r="E109" s="19" t="s">
        <v>37</v>
      </c>
      <c r="F109" s="48">
        <f>D109*$D$50</f>
        <v>84000000000</v>
      </c>
      <c r="I109" s="43" t="s">
        <v>103</v>
      </c>
      <c r="J109" s="24">
        <f>J108*$D$48</f>
        <v>2800000000</v>
      </c>
      <c r="K109" s="19" t="s">
        <v>37</v>
      </c>
    </row>
    <row r="110">
      <c r="C110" s="19" t="s">
        <v>106</v>
      </c>
      <c r="D110" s="48">
        <f t="shared" ref="D110:D111" si="11">F108-$D$73</f>
        <v>35999849897</v>
      </c>
      <c r="I110" s="43" t="s">
        <v>205</v>
      </c>
      <c r="J110" s="48">
        <f>J101*$D$56</f>
        <v>333333333.3</v>
      </c>
    </row>
    <row r="111">
      <c r="C111" s="19" t="s">
        <v>7</v>
      </c>
      <c r="D111" s="48">
        <f t="shared" si="11"/>
        <v>83999849897</v>
      </c>
      <c r="I111" s="47"/>
    </row>
    <row r="112">
      <c r="C112" s="19"/>
      <c r="I112" s="43"/>
    </row>
    <row r="113">
      <c r="C113" s="19" t="s">
        <v>114</v>
      </c>
      <c r="D113" s="77">
        <f t="shared" ref="D113:D114" si="12">$D$73/D108</f>
        <v>0.005003424658</v>
      </c>
      <c r="E113" s="19" t="s">
        <v>115</v>
      </c>
      <c r="I113" s="43" t="s">
        <v>114</v>
      </c>
      <c r="J113" s="77">
        <f t="shared" ref="J113:J114" si="13">$D$73/J108</f>
        <v>0.001501027397</v>
      </c>
      <c r="K113" s="19" t="s">
        <v>115</v>
      </c>
      <c r="M113" s="3" t="s">
        <v>197</v>
      </c>
      <c r="N113" s="7"/>
      <c r="O113" s="7"/>
      <c r="P113" s="7"/>
    </row>
    <row r="114">
      <c r="C114" s="19" t="s">
        <v>116</v>
      </c>
      <c r="D114" s="77">
        <f t="shared" si="12"/>
        <v>0.0001786937378</v>
      </c>
      <c r="E114" s="19" t="s">
        <v>115</v>
      </c>
      <c r="I114" s="78" t="s">
        <v>116</v>
      </c>
      <c r="J114" s="79">
        <f t="shared" si="13"/>
        <v>0.00005360812133</v>
      </c>
      <c r="K114" s="80" t="s">
        <v>115</v>
      </c>
      <c r="L114" s="55"/>
      <c r="M114" s="55"/>
    </row>
    <row r="115">
      <c r="B115" s="57"/>
      <c r="C115" s="56"/>
      <c r="D115" s="57"/>
      <c r="E115" s="57"/>
      <c r="F115" s="57"/>
      <c r="G115" s="57"/>
      <c r="I115" s="48"/>
    </row>
  </sheetData>
  <hyperlinks>
    <hyperlink r:id="rId4" ref="N18"/>
    <hyperlink r:id="rId5" ref="N19"/>
  </hyperlinks>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4.38"/>
  </cols>
  <sheetData>
    <row r="1">
      <c r="A1" s="81" t="s">
        <v>206</v>
      </c>
    </row>
    <row r="2">
      <c r="A2" s="82"/>
    </row>
    <row r="3">
      <c r="A3" s="81" t="s">
        <v>207</v>
      </c>
    </row>
    <row r="4">
      <c r="A4" s="81" t="s">
        <v>208</v>
      </c>
    </row>
    <row r="5">
      <c r="A5" s="81" t="s">
        <v>209</v>
      </c>
    </row>
    <row r="6">
      <c r="A6" s="81" t="s">
        <v>210</v>
      </c>
    </row>
    <row r="7">
      <c r="A7" s="81" t="s">
        <v>211</v>
      </c>
    </row>
    <row r="8">
      <c r="A8" s="81" t="s">
        <v>212</v>
      </c>
    </row>
    <row r="9">
      <c r="A9" s="81"/>
    </row>
    <row r="10">
      <c r="A10" s="81"/>
    </row>
    <row r="11">
      <c r="A11" s="82"/>
    </row>
    <row r="12">
      <c r="A12" s="83" t="s">
        <v>213</v>
      </c>
    </row>
    <row r="13">
      <c r="A13" s="83" t="s">
        <v>214</v>
      </c>
    </row>
    <row r="14">
      <c r="A14" s="83" t="s">
        <v>215</v>
      </c>
    </row>
    <row r="15">
      <c r="A15" s="83" t="s">
        <v>216</v>
      </c>
    </row>
    <row r="16">
      <c r="A16" s="83" t="s">
        <v>217</v>
      </c>
    </row>
    <row r="17">
      <c r="A17" s="83" t="s">
        <v>218</v>
      </c>
    </row>
    <row r="18">
      <c r="A18" s="84">
        <v>0.8805555555555555</v>
      </c>
    </row>
    <row r="19">
      <c r="A19" s="82" t="s">
        <v>219</v>
      </c>
    </row>
    <row r="20">
      <c r="A20" s="83" t="s">
        <v>220</v>
      </c>
    </row>
    <row r="21">
      <c r="A21" s="83" t="s">
        <v>221</v>
      </c>
    </row>
    <row r="22">
      <c r="A22" s="84">
        <v>0.88125</v>
      </c>
    </row>
    <row r="23">
      <c r="A23" s="82" t="s">
        <v>219</v>
      </c>
    </row>
    <row r="24">
      <c r="A24" s="83" t="s">
        <v>222</v>
      </c>
    </row>
    <row r="25">
      <c r="A25" s="84">
        <v>0.88125</v>
      </c>
    </row>
    <row r="26">
      <c r="A26" s="82" t="s">
        <v>219</v>
      </c>
    </row>
    <row r="27">
      <c r="A27" s="83" t="s">
        <v>223</v>
      </c>
    </row>
    <row r="28">
      <c r="A28" s="83" t="s">
        <v>224</v>
      </c>
    </row>
    <row r="29">
      <c r="A29" s="84">
        <v>0.8826388888888889</v>
      </c>
    </row>
    <row r="30">
      <c r="A30" s="82" t="s">
        <v>219</v>
      </c>
    </row>
    <row r="31">
      <c r="A31" s="83" t="s">
        <v>225</v>
      </c>
    </row>
    <row r="32">
      <c r="A32" s="84">
        <v>0.8840277777777777</v>
      </c>
    </row>
    <row r="33">
      <c r="A33" s="82" t="s">
        <v>219</v>
      </c>
    </row>
    <row r="34">
      <c r="A34" s="83" t="s">
        <v>226</v>
      </c>
    </row>
    <row r="36">
      <c r="A36" s="85" t="s">
        <v>227</v>
      </c>
    </row>
    <row r="37">
      <c r="A37" s="86"/>
    </row>
  </sheetData>
  <hyperlinks>
    <hyperlink r:id="rId1" ref="A18"/>
    <hyperlink r:id="rId2" ref="A22"/>
    <hyperlink r:id="rId3" ref="A25"/>
    <hyperlink r:id="rId4" ref="A29"/>
    <hyperlink r:id="rId5" ref="A32"/>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5" max="5" width="17.63"/>
  </cols>
  <sheetData>
    <row r="2">
      <c r="A2" s="26">
        <v>1.0E18</v>
      </c>
      <c r="B2" s="19" t="s">
        <v>228</v>
      </c>
      <c r="C2" s="19" t="s">
        <v>229</v>
      </c>
    </row>
    <row r="3">
      <c r="A3" s="19">
        <v>50.0</v>
      </c>
      <c r="B3" s="19" t="s">
        <v>230</v>
      </c>
      <c r="C3" s="19" t="s">
        <v>231</v>
      </c>
      <c r="D3" s="19" t="s">
        <v>232</v>
      </c>
      <c r="E3" s="19" t="s">
        <v>228</v>
      </c>
    </row>
    <row r="5">
      <c r="A5" s="26">
        <f>A2*A3</f>
        <v>5E+19</v>
      </c>
      <c r="B5" s="19" t="s">
        <v>230</v>
      </c>
      <c r="C5" s="19" t="s">
        <v>233</v>
      </c>
      <c r="D5" s="19" t="s">
        <v>232</v>
      </c>
      <c r="E5" s="19" t="s">
        <v>234</v>
      </c>
    </row>
    <row r="7">
      <c r="A7" s="19">
        <v>8600.0</v>
      </c>
      <c r="B7" s="19" t="s">
        <v>235</v>
      </c>
    </row>
    <row r="9">
      <c r="A9" s="20">
        <f>A5/A7</f>
        <v>5.81395E+15</v>
      </c>
      <c r="B9" s="19" t="s">
        <v>236</v>
      </c>
      <c r="C9" s="19" t="s">
        <v>231</v>
      </c>
      <c r="D9" s="19" t="s">
        <v>232</v>
      </c>
      <c r="E9" s="19" t="s">
        <v>234</v>
      </c>
    </row>
    <row r="11">
      <c r="A11" s="26">
        <v>3.0E7</v>
      </c>
      <c r="B11" s="19" t="s">
        <v>237</v>
      </c>
    </row>
    <row r="13">
      <c r="A13" s="20">
        <f>A9/A11</f>
        <v>193798449.6</v>
      </c>
      <c r="B13" s="19" t="s">
        <v>238</v>
      </c>
      <c r="C13" s="19" t="s">
        <v>231</v>
      </c>
      <c r="D13" s="19" t="s">
        <v>232</v>
      </c>
      <c r="E13" s="19" t="s">
        <v>234</v>
      </c>
      <c r="F13" s="19" t="s">
        <v>239</v>
      </c>
    </row>
    <row r="15">
      <c r="A15" s="26">
        <v>1000.0</v>
      </c>
      <c r="B15" s="19" t="s">
        <v>240</v>
      </c>
    </row>
    <row r="17">
      <c r="B17" s="19" t="s">
        <v>238</v>
      </c>
      <c r="C17" s="19" t="s">
        <v>231</v>
      </c>
      <c r="D17" s="19" t="s">
        <v>232</v>
      </c>
      <c r="E17" s="19" t="s">
        <v>234</v>
      </c>
      <c r="F17" s="19" t="s">
        <v>239</v>
      </c>
      <c r="G17" s="19" t="s">
        <v>241</v>
      </c>
    </row>
    <row r="19">
      <c r="A19" s="19">
        <v>10.0</v>
      </c>
      <c r="B19" s="19" t="s">
        <v>242</v>
      </c>
    </row>
    <row r="21">
      <c r="A21" s="20">
        <f>A13/A15</f>
        <v>193798.4496</v>
      </c>
      <c r="B21" s="19" t="s">
        <v>238</v>
      </c>
      <c r="C21" s="19" t="s">
        <v>231</v>
      </c>
      <c r="D21" s="19" t="s">
        <v>232</v>
      </c>
      <c r="E21" s="19" t="s">
        <v>234</v>
      </c>
      <c r="F21" s="19" t="s">
        <v>243</v>
      </c>
    </row>
    <row r="23">
      <c r="A23" s="19">
        <v>10.0</v>
      </c>
      <c r="B23" s="19" t="s">
        <v>244</v>
      </c>
    </row>
    <row r="25">
      <c r="A25" s="20">
        <f>A21/A23</f>
        <v>19379.84496</v>
      </c>
      <c r="B25" s="19" t="s">
        <v>238</v>
      </c>
      <c r="C25" s="19" t="s">
        <v>231</v>
      </c>
      <c r="D25" s="19" t="s">
        <v>232</v>
      </c>
      <c r="E25" s="19" t="s">
        <v>234</v>
      </c>
      <c r="F25" s="19" t="s">
        <v>243</v>
      </c>
      <c r="G25" s="19" t="s">
        <v>245</v>
      </c>
    </row>
    <row r="27">
      <c r="A27" s="87">
        <v>2.0E7</v>
      </c>
      <c r="B27" s="19" t="s">
        <v>246</v>
      </c>
    </row>
    <row r="29">
      <c r="A29" s="48">
        <f>A25*A27</f>
        <v>387596899225</v>
      </c>
      <c r="B29" s="19" t="s">
        <v>247</v>
      </c>
    </row>
    <row r="31">
      <c r="A31" s="48">
        <f>A29/A19</f>
        <v>38759689922</v>
      </c>
      <c r="B31" s="19" t="s">
        <v>248</v>
      </c>
      <c r="C31" s="29">
        <f>A19</f>
        <v>10</v>
      </c>
      <c r="D31" s="19" t="s">
        <v>249</v>
      </c>
    </row>
    <row r="33">
      <c r="A33" s="19" t="s">
        <v>250</v>
      </c>
    </row>
    <row r="34">
      <c r="A34" s="20">
        <f>A9</f>
        <v>5.81395E+15</v>
      </c>
      <c r="B34" s="19" t="s">
        <v>236</v>
      </c>
      <c r="C34" s="19" t="s">
        <v>251</v>
      </c>
    </row>
    <row r="35">
      <c r="A35" s="20">
        <f>A34/A19</f>
        <v>581395348837209</v>
      </c>
      <c r="B35" s="19" t="s">
        <v>252</v>
      </c>
      <c r="C35" s="19" t="s">
        <v>253</v>
      </c>
      <c r="D35" s="29">
        <f>A19</f>
        <v>10</v>
      </c>
      <c r="E35" s="19" t="s">
        <v>254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4" max="4" width="14.88"/>
    <col customWidth="1" min="5" max="5" width="14.38"/>
    <col customWidth="1" min="6" max="6" width="14.25"/>
  </cols>
  <sheetData>
    <row r="3">
      <c r="A3" s="64"/>
      <c r="B3" s="9" t="s">
        <v>13</v>
      </c>
      <c r="C3" s="16"/>
      <c r="D3" s="16"/>
      <c r="E3" s="16"/>
      <c r="F3" s="16"/>
      <c r="G3" s="17"/>
      <c r="H3" s="65"/>
      <c r="I3" s="9" t="s">
        <v>146</v>
      </c>
      <c r="J3" s="16"/>
      <c r="K3" s="16"/>
      <c r="L3" s="16"/>
      <c r="M3" s="16"/>
      <c r="N3" s="17"/>
      <c r="O3" s="65"/>
      <c r="P3" s="65"/>
      <c r="Q3" s="65"/>
      <c r="R3" s="65"/>
      <c r="S3" s="65"/>
      <c r="T3" s="65"/>
      <c r="U3" s="65"/>
      <c r="V3" s="65"/>
      <c r="W3" s="65"/>
      <c r="X3" s="65"/>
      <c r="Y3" s="65"/>
      <c r="Z3" s="65"/>
    </row>
    <row r="4">
      <c r="B4" s="13"/>
      <c r="C4" s="19" t="s">
        <v>16</v>
      </c>
      <c r="D4" s="19" t="s">
        <v>17</v>
      </c>
      <c r="G4" s="15"/>
      <c r="I4" s="13"/>
      <c r="J4" s="19" t="s">
        <v>147</v>
      </c>
      <c r="N4" s="15"/>
    </row>
    <row r="5">
      <c r="B5" s="13"/>
      <c r="C5" s="19" t="s">
        <v>22</v>
      </c>
      <c r="D5" s="19" t="s">
        <v>23</v>
      </c>
      <c r="E5" s="24">
        <v>1.0</v>
      </c>
      <c r="F5" s="19" t="s">
        <v>24</v>
      </c>
      <c r="G5" s="15"/>
      <c r="I5" s="13"/>
      <c r="J5" s="19" t="s">
        <v>148</v>
      </c>
      <c r="N5" s="15"/>
    </row>
    <row r="6">
      <c r="B6" s="13"/>
      <c r="C6" s="19" t="s">
        <v>28</v>
      </c>
      <c r="D6" s="19" t="s">
        <v>29</v>
      </c>
      <c r="E6" s="24">
        <v>1000.0</v>
      </c>
      <c r="F6" s="19" t="s">
        <v>30</v>
      </c>
      <c r="G6" s="15"/>
      <c r="I6" s="13"/>
      <c r="J6" s="19" t="s">
        <v>149</v>
      </c>
      <c r="N6" s="15"/>
    </row>
    <row r="7">
      <c r="B7" s="13"/>
      <c r="C7" s="19" t="s">
        <v>34</v>
      </c>
      <c r="D7" s="19" t="s">
        <v>35</v>
      </c>
      <c r="E7" s="24">
        <v>1000.0</v>
      </c>
      <c r="F7" s="19" t="s">
        <v>36</v>
      </c>
      <c r="G7" s="15"/>
      <c r="I7" s="13"/>
      <c r="J7" s="19" t="s">
        <v>150</v>
      </c>
      <c r="N7" s="15"/>
    </row>
    <row r="8">
      <c r="B8" s="13"/>
      <c r="C8" s="19" t="s">
        <v>39</v>
      </c>
      <c r="D8" s="19" t="s">
        <v>40</v>
      </c>
      <c r="E8" s="24">
        <f>60*60</f>
        <v>3600</v>
      </c>
      <c r="F8" s="19" t="s">
        <v>41</v>
      </c>
      <c r="G8" s="15"/>
      <c r="I8" s="13"/>
      <c r="J8" s="19" t="s">
        <v>151</v>
      </c>
      <c r="N8" s="15"/>
    </row>
    <row r="9">
      <c r="B9" s="13"/>
      <c r="C9" s="19" t="s">
        <v>44</v>
      </c>
      <c r="D9" s="19" t="s">
        <v>45</v>
      </c>
      <c r="E9" s="24">
        <f>$E$8*$E$6</f>
        <v>3600000</v>
      </c>
      <c r="F9" s="19" t="s">
        <v>41</v>
      </c>
      <c r="G9" s="15"/>
      <c r="I9" s="13"/>
      <c r="J9" s="19" t="s">
        <v>152</v>
      </c>
      <c r="N9" s="15"/>
    </row>
    <row r="10">
      <c r="B10" s="13"/>
      <c r="C10" s="19" t="s">
        <v>25</v>
      </c>
      <c r="D10" s="19" t="s">
        <v>46</v>
      </c>
      <c r="E10" s="24">
        <f>$E$9*$D$19</f>
        <v>31557600000</v>
      </c>
      <c r="F10" s="19" t="s">
        <v>41</v>
      </c>
      <c r="G10" s="15"/>
      <c r="I10" s="13"/>
      <c r="J10" s="19" t="s">
        <v>153</v>
      </c>
      <c r="N10" s="15"/>
    </row>
    <row r="11">
      <c r="B11" s="13"/>
      <c r="C11" s="19" t="s">
        <v>48</v>
      </c>
      <c r="D11" s="19" t="s">
        <v>49</v>
      </c>
      <c r="E11" s="24">
        <f>$E$9*$E$7</f>
        <v>3600000000</v>
      </c>
      <c r="F11" s="19" t="s">
        <v>41</v>
      </c>
      <c r="G11" s="15"/>
      <c r="I11" s="13"/>
      <c r="N11" s="15"/>
    </row>
    <row r="12">
      <c r="B12" s="13"/>
      <c r="C12" s="19" t="s">
        <v>52</v>
      </c>
      <c r="D12" s="19" t="s">
        <v>53</v>
      </c>
      <c r="E12" s="24">
        <f>$E$11*$D$19</f>
        <v>31557600000000</v>
      </c>
      <c r="F12" s="19" t="s">
        <v>41</v>
      </c>
      <c r="G12" s="15"/>
      <c r="I12" s="13"/>
      <c r="N12" s="15"/>
    </row>
    <row r="13">
      <c r="B13" s="13"/>
      <c r="G13" s="15"/>
      <c r="I13" s="66" t="s">
        <v>154</v>
      </c>
      <c r="N13" s="15"/>
    </row>
    <row r="14">
      <c r="B14" s="13"/>
      <c r="C14" s="19" t="s">
        <v>58</v>
      </c>
      <c r="D14" s="19" t="s">
        <v>59</v>
      </c>
      <c r="E14" s="19">
        <v>1.0</v>
      </c>
      <c r="F14" s="19" t="s">
        <v>58</v>
      </c>
      <c r="G14" s="15"/>
      <c r="I14" s="30"/>
      <c r="J14" s="31" t="s">
        <v>155</v>
      </c>
      <c r="K14" s="32"/>
      <c r="L14" s="32"/>
      <c r="M14" s="32"/>
      <c r="N14" s="34"/>
    </row>
    <row r="15">
      <c r="B15" s="13"/>
      <c r="C15" s="19" t="s">
        <v>61</v>
      </c>
      <c r="D15" s="19" t="s">
        <v>62</v>
      </c>
      <c r="E15" s="29">
        <f>1/1000</f>
        <v>0.001</v>
      </c>
      <c r="F15" s="19" t="s">
        <v>58</v>
      </c>
      <c r="G15" s="15"/>
    </row>
    <row r="16">
      <c r="B16" s="13"/>
      <c r="G16" s="15"/>
      <c r="I16" s="19"/>
      <c r="N16" s="19"/>
    </row>
    <row r="17">
      <c r="B17" s="13"/>
      <c r="C17" s="19">
        <v>100.0</v>
      </c>
      <c r="D17" s="19" t="s">
        <v>63</v>
      </c>
      <c r="E17" s="24">
        <f>1000000*C17</f>
        <v>100000000</v>
      </c>
      <c r="F17" s="19" t="s">
        <v>64</v>
      </c>
      <c r="G17" s="15"/>
      <c r="I17" s="19"/>
      <c r="N17" s="19"/>
    </row>
    <row r="18">
      <c r="B18" s="13"/>
      <c r="G18" s="15"/>
      <c r="I18" s="1" t="s">
        <v>156</v>
      </c>
      <c r="J18" s="58"/>
      <c r="K18" s="58"/>
      <c r="L18" s="58"/>
      <c r="N18" s="67" t="s">
        <v>157</v>
      </c>
    </row>
    <row r="19">
      <c r="B19" s="13"/>
      <c r="C19" s="19" t="s">
        <v>65</v>
      </c>
      <c r="D19" s="24">
        <f>365.25*24</f>
        <v>8766</v>
      </c>
      <c r="G19" s="15"/>
      <c r="I19" s="3" t="s">
        <v>158</v>
      </c>
      <c r="J19" s="7"/>
      <c r="K19" s="7"/>
      <c r="L19" s="7"/>
      <c r="N19" s="68" t="s">
        <v>157</v>
      </c>
    </row>
    <row r="20">
      <c r="B20" s="13"/>
      <c r="C20" s="19" t="s">
        <v>67</v>
      </c>
      <c r="D20" s="24">
        <f>D19/2</f>
        <v>4383</v>
      </c>
      <c r="G20" s="15"/>
    </row>
    <row r="21">
      <c r="B21" s="30"/>
      <c r="C21" s="32"/>
      <c r="D21" s="32"/>
      <c r="E21" s="32"/>
      <c r="F21" s="32"/>
      <c r="G21" s="34"/>
    </row>
    <row r="23">
      <c r="A23" s="19"/>
      <c r="B23" s="9" t="s">
        <v>159</v>
      </c>
      <c r="C23" s="10"/>
      <c r="D23" s="10"/>
      <c r="E23" s="10"/>
      <c r="F23" s="10"/>
      <c r="G23" s="10"/>
      <c r="H23" s="10"/>
      <c r="I23" s="10"/>
      <c r="J23" s="10"/>
      <c r="K23" s="11"/>
    </row>
    <row r="24">
      <c r="B24" s="13"/>
      <c r="C24" s="14"/>
      <c r="D24" s="14"/>
      <c r="E24" s="14"/>
      <c r="F24" s="14"/>
      <c r="K24" s="15"/>
    </row>
    <row r="25">
      <c r="B25" s="13"/>
      <c r="C25" s="41" t="s">
        <v>15</v>
      </c>
      <c r="D25" s="14"/>
      <c r="E25" s="14"/>
      <c r="F25" s="14"/>
      <c r="K25" s="15"/>
    </row>
    <row r="26">
      <c r="B26" s="13"/>
      <c r="D26" s="14" t="s">
        <v>18</v>
      </c>
      <c r="E26" s="14" t="s">
        <v>19</v>
      </c>
      <c r="F26" s="14" t="s">
        <v>20</v>
      </c>
      <c r="G26" s="14" t="s">
        <v>19</v>
      </c>
      <c r="H26" s="14" t="s">
        <v>21</v>
      </c>
      <c r="K26" s="15"/>
    </row>
    <row r="27">
      <c r="B27" s="13"/>
      <c r="D27" s="19">
        <v>1.0</v>
      </c>
      <c r="E27" s="19" t="s">
        <v>25</v>
      </c>
      <c r="F27" s="1">
        <v>3.0</v>
      </c>
      <c r="G27" s="19" t="s">
        <v>26</v>
      </c>
      <c r="H27" s="69">
        <v>2000.0</v>
      </c>
      <c r="I27" s="19" t="s">
        <v>61</v>
      </c>
      <c r="K27" s="15"/>
    </row>
    <row r="28">
      <c r="B28" s="13"/>
      <c r="D28" s="22">
        <v>1.0</v>
      </c>
      <c r="E28" s="19" t="s">
        <v>31</v>
      </c>
      <c r="F28" s="24">
        <f>F27*$E$7</f>
        <v>3000</v>
      </c>
      <c r="G28" s="19" t="s">
        <v>26</v>
      </c>
      <c r="H28" s="24">
        <f t="shared" ref="H28:I28" si="1">H$27</f>
        <v>2000</v>
      </c>
      <c r="I28" s="24" t="str">
        <f t="shared" si="1"/>
        <v>ppb</v>
      </c>
      <c r="K28" s="15"/>
    </row>
    <row r="29">
      <c r="B29" s="13"/>
      <c r="D29" s="19">
        <v>1.0</v>
      </c>
      <c r="E29" s="19" t="s">
        <v>25</v>
      </c>
      <c r="F29" s="19">
        <f>F27*D48</f>
        <v>84</v>
      </c>
      <c r="G29" s="19" t="s">
        <v>37</v>
      </c>
      <c r="H29" s="24">
        <f t="shared" ref="H29:I29" si="2">H$27</f>
        <v>2000</v>
      </c>
      <c r="I29" s="24" t="str">
        <f t="shared" si="2"/>
        <v>ppb</v>
      </c>
      <c r="K29" s="15"/>
    </row>
    <row r="30">
      <c r="B30" s="13"/>
      <c r="D30" s="22">
        <v>1.0</v>
      </c>
      <c r="E30" s="19" t="s">
        <v>31</v>
      </c>
      <c r="F30" s="24">
        <f>F29*$E$7</f>
        <v>84000</v>
      </c>
      <c r="G30" s="19" t="s">
        <v>37</v>
      </c>
      <c r="H30" s="24">
        <f t="shared" ref="H30:I30" si="3">H$27</f>
        <v>2000</v>
      </c>
      <c r="I30" s="24" t="str">
        <f t="shared" si="3"/>
        <v>ppb</v>
      </c>
      <c r="K30" s="15"/>
    </row>
    <row r="31">
      <c r="B31" s="13"/>
      <c r="K31" s="15"/>
    </row>
    <row r="32">
      <c r="B32" s="13"/>
      <c r="D32" s="70">
        <f>$E$10/F27</f>
        <v>10519200000</v>
      </c>
      <c r="E32" s="19" t="s">
        <v>47</v>
      </c>
      <c r="H32" s="24">
        <f t="shared" ref="H32:I32" si="4">H$27</f>
        <v>2000</v>
      </c>
      <c r="I32" s="24" t="str">
        <f t="shared" si="4"/>
        <v>ppb</v>
      </c>
      <c r="K32" s="15"/>
    </row>
    <row r="33">
      <c r="B33" s="13"/>
      <c r="D33" s="24">
        <f>$D$32/$D$48</f>
        <v>375685714.3</v>
      </c>
      <c r="E33" s="19" t="s">
        <v>50</v>
      </c>
      <c r="H33" s="24">
        <f t="shared" ref="H33:I33" si="5">H$27</f>
        <v>2000</v>
      </c>
      <c r="I33" s="24" t="str">
        <f t="shared" si="5"/>
        <v>ppb</v>
      </c>
      <c r="K33" s="15"/>
    </row>
    <row r="34">
      <c r="B34" s="13"/>
      <c r="K34" s="15"/>
    </row>
    <row r="35">
      <c r="B35" s="13"/>
      <c r="D35" s="19" t="s">
        <v>160</v>
      </c>
      <c r="E35" s="19" t="s">
        <v>161</v>
      </c>
      <c r="K35" s="15"/>
    </row>
    <row r="36">
      <c r="B36" s="13"/>
      <c r="K36" s="15"/>
    </row>
    <row r="37">
      <c r="B37" s="13"/>
      <c r="K37" s="15"/>
    </row>
    <row r="38">
      <c r="B38" s="13"/>
      <c r="K38" s="15"/>
    </row>
    <row r="39">
      <c r="B39" s="13"/>
      <c r="K39" s="15"/>
    </row>
    <row r="40">
      <c r="B40" s="13"/>
      <c r="K40" s="15"/>
    </row>
    <row r="41">
      <c r="B41" s="13"/>
      <c r="C41" s="41" t="s">
        <v>57</v>
      </c>
      <c r="K41" s="15"/>
    </row>
    <row r="42">
      <c r="B42" s="13"/>
      <c r="C42" s="19" t="s">
        <v>162</v>
      </c>
      <c r="D42" s="71">
        <v>30.0</v>
      </c>
      <c r="E42" s="19" t="s">
        <v>48</v>
      </c>
      <c r="F42" s="19" t="s">
        <v>163</v>
      </c>
      <c r="K42" s="15"/>
    </row>
    <row r="43">
      <c r="B43" s="13"/>
      <c r="C43" s="19" t="s">
        <v>60</v>
      </c>
      <c r="D43" s="72">
        <v>0.25</v>
      </c>
      <c r="E43" s="19" t="s">
        <v>44</v>
      </c>
      <c r="F43" s="19" t="s">
        <v>164</v>
      </c>
      <c r="K43" s="15"/>
    </row>
    <row r="44">
      <c r="B44" s="13"/>
      <c r="C44" s="19" t="s">
        <v>162</v>
      </c>
      <c r="D44" s="48">
        <f>(D42/E7)*$D$19</f>
        <v>262.98</v>
      </c>
      <c r="E44" s="19" t="s">
        <v>25</v>
      </c>
      <c r="K44" s="15"/>
    </row>
    <row r="45">
      <c r="B45" s="13"/>
      <c r="C45" s="19" t="s">
        <v>60</v>
      </c>
      <c r="D45" s="53">
        <f>D43*$D$19</f>
        <v>2191.5</v>
      </c>
      <c r="E45" s="19" t="s">
        <v>25</v>
      </c>
      <c r="K45" s="15"/>
    </row>
    <row r="46">
      <c r="B46" s="13"/>
      <c r="C46" s="40"/>
      <c r="K46" s="15"/>
    </row>
    <row r="47">
      <c r="B47" s="13"/>
      <c r="C47" s="41" t="s">
        <v>66</v>
      </c>
      <c r="K47" s="15"/>
    </row>
    <row r="48">
      <c r="B48" s="13"/>
      <c r="C48" s="19" t="s">
        <v>68</v>
      </c>
      <c r="D48" s="1">
        <v>28.0</v>
      </c>
      <c r="K48" s="15"/>
    </row>
    <row r="49">
      <c r="B49" s="13"/>
      <c r="C49" s="40"/>
      <c r="D49" s="71">
        <v>1200.0</v>
      </c>
      <c r="E49" s="19" t="s">
        <v>70</v>
      </c>
      <c r="F49" s="19" t="s">
        <v>165</v>
      </c>
      <c r="K49" s="15"/>
    </row>
    <row r="50">
      <c r="B50" s="13"/>
      <c r="C50" s="40"/>
      <c r="D50" s="71">
        <v>100.0</v>
      </c>
      <c r="E50" s="19" t="s">
        <v>72</v>
      </c>
      <c r="F50" s="19" t="s">
        <v>73</v>
      </c>
      <c r="K50" s="15"/>
    </row>
    <row r="51">
      <c r="B51" s="13"/>
      <c r="C51" s="40"/>
      <c r="K51" s="15"/>
    </row>
    <row r="52">
      <c r="B52" s="13"/>
      <c r="C52" s="41" t="s">
        <v>77</v>
      </c>
      <c r="D52" s="1">
        <v>250.0</v>
      </c>
      <c r="E52" s="19" t="s">
        <v>78</v>
      </c>
      <c r="F52" s="19" t="s">
        <v>79</v>
      </c>
      <c r="K52" s="15"/>
    </row>
    <row r="53">
      <c r="B53" s="13"/>
      <c r="C53" s="40" t="s">
        <v>82</v>
      </c>
      <c r="D53" s="37">
        <f>D52/365</f>
        <v>0.6849315068</v>
      </c>
      <c r="E53" s="19" t="s">
        <v>83</v>
      </c>
      <c r="K53" s="15"/>
    </row>
    <row r="54">
      <c r="B54" s="13"/>
      <c r="C54" s="40"/>
      <c r="K54" s="15"/>
    </row>
    <row r="55">
      <c r="B55" s="13"/>
      <c r="C55" s="41" t="s">
        <v>166</v>
      </c>
      <c r="K55" s="15"/>
    </row>
    <row r="56">
      <c r="B56" s="13"/>
      <c r="C56" s="19" t="s">
        <v>167</v>
      </c>
      <c r="D56" s="71">
        <v>1000000.0</v>
      </c>
      <c r="E56" s="19" t="s">
        <v>168</v>
      </c>
      <c r="F56" s="19"/>
      <c r="K56" s="15"/>
    </row>
    <row r="57">
      <c r="B57" s="13"/>
      <c r="C57" s="19" t="s">
        <v>169</v>
      </c>
      <c r="D57" s="1">
        <v>4.0</v>
      </c>
      <c r="E57" s="19" t="s">
        <v>170</v>
      </c>
      <c r="F57" s="19" t="s">
        <v>171</v>
      </c>
      <c r="K57" s="15"/>
    </row>
    <row r="58">
      <c r="B58" s="13"/>
      <c r="C58" s="19" t="s">
        <v>172</v>
      </c>
      <c r="D58" s="73">
        <v>0.4</v>
      </c>
      <c r="E58" s="19" t="s">
        <v>173</v>
      </c>
      <c r="K58" s="15"/>
    </row>
    <row r="59">
      <c r="B59" s="13"/>
      <c r="C59" s="19" t="s">
        <v>174</v>
      </c>
      <c r="D59" s="1">
        <v>25.0</v>
      </c>
      <c r="E59" s="19" t="s">
        <v>175</v>
      </c>
      <c r="K59" s="15"/>
    </row>
    <row r="60">
      <c r="B60" s="13"/>
      <c r="C60" s="40"/>
      <c r="K60" s="15"/>
    </row>
    <row r="61">
      <c r="B61" s="13"/>
      <c r="C61" s="41" t="s">
        <v>176</v>
      </c>
      <c r="K61" s="15"/>
    </row>
    <row r="62">
      <c r="B62" s="13"/>
      <c r="C62" s="19" t="s">
        <v>177</v>
      </c>
      <c r="D62" s="1">
        <v>2.0</v>
      </c>
      <c r="E62" s="19" t="s">
        <v>178</v>
      </c>
      <c r="F62" s="19"/>
      <c r="K62" s="15"/>
    </row>
    <row r="63">
      <c r="B63" s="13"/>
      <c r="C63" s="19" t="s">
        <v>179</v>
      </c>
      <c r="D63" s="1">
        <v>500.0</v>
      </c>
      <c r="E63" s="19" t="s">
        <v>58</v>
      </c>
      <c r="F63" s="19" t="s">
        <v>180</v>
      </c>
      <c r="K63" s="15"/>
    </row>
    <row r="64">
      <c r="B64" s="30"/>
      <c r="C64" s="74"/>
      <c r="D64" s="32"/>
      <c r="E64" s="32"/>
      <c r="F64" s="32"/>
      <c r="G64" s="32"/>
      <c r="H64" s="32"/>
      <c r="I64" s="32"/>
      <c r="J64" s="32"/>
      <c r="K64" s="34"/>
    </row>
    <row r="65">
      <c r="C65" s="40"/>
    </row>
    <row r="66">
      <c r="C66" s="40"/>
    </row>
    <row r="67">
      <c r="A67" s="41" t="s">
        <v>181</v>
      </c>
      <c r="C67" s="40"/>
    </row>
    <row r="68">
      <c r="C68" s="40"/>
    </row>
    <row r="69">
      <c r="B69" s="41" t="s">
        <v>87</v>
      </c>
      <c r="C69" s="40"/>
      <c r="I69" s="42" t="s">
        <v>88</v>
      </c>
    </row>
    <row r="70">
      <c r="C70" s="19" t="s">
        <v>90</v>
      </c>
      <c r="D70" s="1">
        <v>60.0</v>
      </c>
      <c r="E70" s="19" t="s">
        <v>34</v>
      </c>
      <c r="I70" s="43" t="s">
        <v>91</v>
      </c>
      <c r="J70" s="69">
        <v>80000.0</v>
      </c>
      <c r="K70" s="19" t="s">
        <v>92</v>
      </c>
    </row>
    <row r="71">
      <c r="C71" s="19" t="s">
        <v>38</v>
      </c>
      <c r="D71" s="1">
        <v>100.0</v>
      </c>
      <c r="E71" s="19" t="s">
        <v>28</v>
      </c>
      <c r="F71" s="45">
        <f>D71/(D70*$E$7)</f>
        <v>0.001666666667</v>
      </c>
      <c r="G71" s="19" t="s">
        <v>93</v>
      </c>
      <c r="I71" s="43" t="s">
        <v>182</v>
      </c>
      <c r="J71" s="2">
        <v>20000.0</v>
      </c>
      <c r="K71" s="19" t="s">
        <v>94</v>
      </c>
      <c r="M71" s="19" t="s">
        <v>112</v>
      </c>
    </row>
    <row r="72">
      <c r="C72" s="19" t="s">
        <v>95</v>
      </c>
      <c r="D72" s="46">
        <f>D71*$D$53</f>
        <v>68.49315068</v>
      </c>
      <c r="E72" s="19" t="s">
        <v>25</v>
      </c>
      <c r="F72" s="19" t="s">
        <v>96</v>
      </c>
      <c r="I72" s="47"/>
      <c r="J72" s="19" t="s">
        <v>97</v>
      </c>
    </row>
    <row r="73">
      <c r="C73" s="19" t="s">
        <v>98</v>
      </c>
      <c r="D73" s="48">
        <f>D72*$D$45</f>
        <v>150102.7397</v>
      </c>
      <c r="E73" s="19" t="s">
        <v>99</v>
      </c>
      <c r="I73" s="47"/>
    </row>
    <row r="74">
      <c r="C74" s="19" t="s">
        <v>8</v>
      </c>
      <c r="D74" s="24">
        <f>D72*$F$27</f>
        <v>205.4794521</v>
      </c>
      <c r="E74" s="29" t="str">
        <f>$G$27</f>
        <v>tonnes CH4</v>
      </c>
      <c r="F74" s="48">
        <f>D74*$D$49</f>
        <v>246575.3425</v>
      </c>
      <c r="G74" s="19" t="s">
        <v>100</v>
      </c>
      <c r="I74" s="43" t="s">
        <v>101</v>
      </c>
      <c r="J74" s="1">
        <v>1.0</v>
      </c>
      <c r="K74" s="19" t="s">
        <v>102</v>
      </c>
      <c r="M74" s="19" t="s">
        <v>112</v>
      </c>
    </row>
    <row r="75">
      <c r="C75" s="19" t="s">
        <v>103</v>
      </c>
      <c r="D75" s="24">
        <f>D74*$D$48</f>
        <v>5753.424658</v>
      </c>
      <c r="E75" s="19" t="s">
        <v>37</v>
      </c>
      <c r="F75" s="48">
        <f>D75*$D$50</f>
        <v>575342.4658</v>
      </c>
      <c r="G75" s="19" t="s">
        <v>100</v>
      </c>
      <c r="I75" s="43" t="s">
        <v>104</v>
      </c>
      <c r="J75" s="2">
        <f>J74*J71</f>
        <v>20000</v>
      </c>
      <c r="K75" s="19" t="s">
        <v>105</v>
      </c>
    </row>
    <row r="76">
      <c r="C76" s="19" t="s">
        <v>106</v>
      </c>
      <c r="D76" s="48">
        <f t="shared" ref="D76:D77" si="6">F74-$D$73</f>
        <v>96472.60274</v>
      </c>
      <c r="I76" s="43" t="s">
        <v>107</v>
      </c>
      <c r="J76" s="22">
        <f>J75*$D$53</f>
        <v>13698.63014</v>
      </c>
      <c r="K76" s="19" t="s">
        <v>108</v>
      </c>
      <c r="M76" s="19" t="s">
        <v>183</v>
      </c>
    </row>
    <row r="77">
      <c r="C77" s="19" t="s">
        <v>7</v>
      </c>
      <c r="D77" s="48">
        <f t="shared" si="6"/>
        <v>425239.726</v>
      </c>
      <c r="I77" s="43" t="s">
        <v>8</v>
      </c>
      <c r="J77" s="24">
        <f>J75*$F$27</f>
        <v>60000</v>
      </c>
      <c r="K77" s="29" t="str">
        <f>$G$27</f>
        <v>tonnes CH4</v>
      </c>
    </row>
    <row r="78">
      <c r="C78" s="19"/>
      <c r="I78" s="43" t="s">
        <v>103</v>
      </c>
      <c r="J78" s="24">
        <f>J77*$D$48</f>
        <v>1680000</v>
      </c>
      <c r="K78" s="19" t="s">
        <v>37</v>
      </c>
    </row>
    <row r="79">
      <c r="C79" s="19" t="s">
        <v>110</v>
      </c>
      <c r="D79" s="69">
        <v>20000.0</v>
      </c>
      <c r="E79" s="19" t="s">
        <v>111</v>
      </c>
      <c r="F79" s="19" t="s">
        <v>112</v>
      </c>
      <c r="I79" s="47"/>
    </row>
    <row r="80">
      <c r="C80" s="19"/>
      <c r="I80" s="47"/>
    </row>
    <row r="81">
      <c r="C81" s="19" t="s">
        <v>114</v>
      </c>
      <c r="D81" s="53">
        <f t="shared" ref="D81:D82" si="7">$D$73/D74</f>
        <v>730.5</v>
      </c>
      <c r="E81" s="19" t="s">
        <v>115</v>
      </c>
      <c r="I81" s="47"/>
    </row>
    <row r="82">
      <c r="C82" s="19" t="s">
        <v>116</v>
      </c>
      <c r="D82" s="53">
        <f t="shared" si="7"/>
        <v>26.08928571</v>
      </c>
      <c r="E82" s="19" t="s">
        <v>115</v>
      </c>
      <c r="I82" s="54" t="s">
        <v>184</v>
      </c>
      <c r="J82" s="55"/>
      <c r="K82" s="55"/>
      <c r="L82" s="55"/>
      <c r="M82" s="55"/>
    </row>
    <row r="83">
      <c r="B83" s="57"/>
      <c r="C83" s="56"/>
      <c r="D83" s="57"/>
      <c r="E83" s="57"/>
      <c r="F83" s="57"/>
      <c r="G83" s="57"/>
      <c r="I83" s="75"/>
    </row>
    <row r="84">
      <c r="C84" s="19"/>
      <c r="I84" s="47"/>
    </row>
    <row r="85">
      <c r="B85" s="41" t="s">
        <v>185</v>
      </c>
      <c r="C85" s="40"/>
      <c r="I85" s="76" t="s">
        <v>186</v>
      </c>
      <c r="J85" s="40"/>
    </row>
    <row r="86">
      <c r="C86" s="19" t="s">
        <v>187</v>
      </c>
      <c r="D86" s="1">
        <v>100.0</v>
      </c>
      <c r="E86" s="19" t="s">
        <v>34</v>
      </c>
      <c r="I86" s="47"/>
      <c r="J86" s="19" t="s">
        <v>187</v>
      </c>
      <c r="K86" s="24">
        <f>D86/(D91/$E$17)</f>
        <v>83333.33333</v>
      </c>
      <c r="L86" s="19" t="s">
        <v>34</v>
      </c>
      <c r="M86" s="19" t="s">
        <v>188</v>
      </c>
    </row>
    <row r="87">
      <c r="C87" s="19" t="s">
        <v>189</v>
      </c>
      <c r="D87" s="24">
        <f>D86*$D$57</f>
        <v>400</v>
      </c>
      <c r="E87" s="19" t="s">
        <v>190</v>
      </c>
      <c r="F87" s="45"/>
      <c r="I87" s="47"/>
      <c r="J87" s="19" t="s">
        <v>189</v>
      </c>
      <c r="K87" s="24">
        <f>K86*$D$57</f>
        <v>333333.3333</v>
      </c>
      <c r="L87" s="19" t="s">
        <v>190</v>
      </c>
      <c r="N87" s="19" t="s">
        <v>191</v>
      </c>
      <c r="O87" s="22" t="s">
        <v>192</v>
      </c>
    </row>
    <row r="88">
      <c r="C88" s="19" t="s">
        <v>193</v>
      </c>
      <c r="D88" s="24">
        <f>D86*$D$58*$E$7</f>
        <v>40000</v>
      </c>
      <c r="E88" s="19" t="s">
        <v>28</v>
      </c>
      <c r="F88" s="45"/>
      <c r="I88" s="47"/>
      <c r="J88" s="19" t="s">
        <v>193</v>
      </c>
      <c r="K88" s="24">
        <f>K86*$D$58*$E$7</f>
        <v>33333333.33</v>
      </c>
      <c r="L88" s="19" t="s">
        <v>28</v>
      </c>
      <c r="M88" s="45"/>
      <c r="N88" s="19" t="s">
        <v>194</v>
      </c>
      <c r="O88" s="19" t="s">
        <v>195</v>
      </c>
    </row>
    <row r="89">
      <c r="C89" s="19" t="s">
        <v>95</v>
      </c>
      <c r="D89" s="24">
        <f>D88</f>
        <v>40000</v>
      </c>
      <c r="E89" s="19" t="s">
        <v>25</v>
      </c>
      <c r="I89" s="47"/>
      <c r="J89" s="19" t="s">
        <v>95</v>
      </c>
      <c r="K89" s="24">
        <f>K88</f>
        <v>33333333.33</v>
      </c>
      <c r="L89" s="19" t="s">
        <v>25</v>
      </c>
    </row>
    <row r="90">
      <c r="C90" s="19" t="s">
        <v>98</v>
      </c>
      <c r="D90" s="48">
        <f>((D86*$D$56)/$D$59)/D89</f>
        <v>100</v>
      </c>
      <c r="E90" s="19" t="s">
        <v>99</v>
      </c>
      <c r="I90" s="47"/>
      <c r="J90" s="19" t="s">
        <v>196</v>
      </c>
      <c r="K90" s="48">
        <f>((K86*$D$56)/$D$59)/K89</f>
        <v>100</v>
      </c>
      <c r="L90" s="19" t="s">
        <v>25</v>
      </c>
    </row>
    <row r="91">
      <c r="C91" s="19" t="s">
        <v>8</v>
      </c>
      <c r="D91" s="24">
        <f>D89*$F$27</f>
        <v>120000</v>
      </c>
      <c r="E91" s="19" t="s">
        <v>26</v>
      </c>
      <c r="F91" s="48">
        <f>D91*$D$49</f>
        <v>144000000</v>
      </c>
      <c r="I91" s="47"/>
      <c r="J91" s="19" t="s">
        <v>8</v>
      </c>
      <c r="K91" s="24">
        <f>K89*$F$27</f>
        <v>100000000</v>
      </c>
      <c r="L91" s="19" t="s">
        <v>26</v>
      </c>
    </row>
    <row r="92">
      <c r="C92" s="19" t="s">
        <v>103</v>
      </c>
      <c r="D92" s="24">
        <f>D91*$D$48</f>
        <v>3360000</v>
      </c>
      <c r="E92" s="19" t="s">
        <v>37</v>
      </c>
      <c r="F92" s="48">
        <f>D92*$D$50</f>
        <v>336000000</v>
      </c>
      <c r="I92" s="47"/>
      <c r="J92" s="19" t="s">
        <v>103</v>
      </c>
      <c r="K92" s="24">
        <f>K91*$D$48</f>
        <v>2800000000</v>
      </c>
      <c r="L92" s="19" t="s">
        <v>37</v>
      </c>
    </row>
    <row r="93">
      <c r="C93" s="19" t="s">
        <v>106</v>
      </c>
      <c r="D93" s="48">
        <f t="shared" ref="D93:D94" si="8">F91-$D$73</f>
        <v>143849897.3</v>
      </c>
      <c r="I93" s="47"/>
    </row>
    <row r="94">
      <c r="C94" s="19" t="s">
        <v>7</v>
      </c>
      <c r="D94" s="48">
        <f t="shared" si="8"/>
        <v>335849897.3</v>
      </c>
      <c r="I94" s="47"/>
    </row>
    <row r="95">
      <c r="C95" s="19"/>
      <c r="I95" s="47"/>
      <c r="J95" s="19"/>
    </row>
    <row r="96">
      <c r="C96" s="19" t="s">
        <v>114</v>
      </c>
      <c r="D96" s="77">
        <f t="shared" ref="D96:D97" si="9">$D$73/D91</f>
        <v>1.250856164</v>
      </c>
      <c r="E96" s="19" t="s">
        <v>115</v>
      </c>
      <c r="I96" s="47"/>
      <c r="J96" s="19" t="s">
        <v>114</v>
      </c>
      <c r="K96" s="77">
        <f t="shared" ref="K96:K97" si="10">$D$73/K91</f>
        <v>0.001501027397</v>
      </c>
      <c r="L96" s="19" t="s">
        <v>115</v>
      </c>
      <c r="M96" s="3" t="s">
        <v>197</v>
      </c>
      <c r="N96" s="7"/>
      <c r="O96" s="7"/>
      <c r="P96" s="7"/>
    </row>
    <row r="97">
      <c r="C97" s="19" t="s">
        <v>116</v>
      </c>
      <c r="D97" s="77">
        <f t="shared" si="9"/>
        <v>0.04467343444</v>
      </c>
      <c r="E97" s="19" t="s">
        <v>115</v>
      </c>
      <c r="I97" s="47"/>
      <c r="J97" s="19" t="s">
        <v>116</v>
      </c>
      <c r="K97" s="77">
        <f t="shared" si="10"/>
        <v>0.00005360812133</v>
      </c>
      <c r="L97" s="19" t="s">
        <v>115</v>
      </c>
    </row>
    <row r="98">
      <c r="B98" s="57"/>
      <c r="C98" s="56"/>
      <c r="D98" s="57"/>
      <c r="E98" s="57"/>
      <c r="F98" s="57"/>
      <c r="G98" s="57"/>
      <c r="I98" s="75"/>
    </row>
    <row r="99">
      <c r="I99" s="47"/>
    </row>
    <row r="100">
      <c r="B100" s="41" t="s">
        <v>198</v>
      </c>
      <c r="C100" s="40"/>
      <c r="H100" s="19"/>
      <c r="I100" s="76" t="s">
        <v>199</v>
      </c>
      <c r="L100" s="14" t="s">
        <v>200</v>
      </c>
    </row>
    <row r="101">
      <c r="C101" s="19" t="s">
        <v>187</v>
      </c>
      <c r="D101" s="1">
        <v>100.0</v>
      </c>
      <c r="E101" s="19" t="s">
        <v>34</v>
      </c>
      <c r="I101" s="43" t="s">
        <v>187</v>
      </c>
      <c r="J101" s="24">
        <f>D101*($E$17/D108)</f>
        <v>333.3333333</v>
      </c>
      <c r="K101" s="19" t="s">
        <v>34</v>
      </c>
    </row>
    <row r="102">
      <c r="C102" s="19" t="s">
        <v>189</v>
      </c>
      <c r="D102" s="24">
        <f>D101*$D$57</f>
        <v>400</v>
      </c>
      <c r="E102" s="19" t="s">
        <v>190</v>
      </c>
      <c r="F102" s="19" t="s">
        <v>201</v>
      </c>
      <c r="I102" s="43" t="s">
        <v>189</v>
      </c>
      <c r="J102" s="24">
        <f>J101*$D$57</f>
        <v>1333.333333</v>
      </c>
      <c r="K102" s="19" t="s">
        <v>190</v>
      </c>
      <c r="L102" s="19" t="s">
        <v>201</v>
      </c>
    </row>
    <row r="103">
      <c r="C103" s="19" t="s">
        <v>193</v>
      </c>
      <c r="D103" s="24">
        <f>D101*$D$58*$E$7</f>
        <v>40000</v>
      </c>
      <c r="E103" s="19" t="s">
        <v>28</v>
      </c>
      <c r="F103" s="45"/>
      <c r="I103" s="43" t="s">
        <v>193</v>
      </c>
      <c r="J103" s="24">
        <f>J101*$D$58*$E$7</f>
        <v>133333.3333</v>
      </c>
      <c r="K103" s="19" t="s">
        <v>28</v>
      </c>
      <c r="L103" s="45"/>
    </row>
    <row r="104">
      <c r="C104" s="19" t="s">
        <v>95</v>
      </c>
      <c r="D104" s="24">
        <f>D103</f>
        <v>40000</v>
      </c>
      <c r="E104" s="19" t="s">
        <v>25</v>
      </c>
      <c r="I104" s="43" t="s">
        <v>95</v>
      </c>
      <c r="J104" s="24">
        <f>J103</f>
        <v>133333.3333</v>
      </c>
      <c r="K104" s="19" t="s">
        <v>25</v>
      </c>
    </row>
    <row r="105">
      <c r="C105" s="19" t="s">
        <v>202</v>
      </c>
      <c r="D105" s="22">
        <v>4.0</v>
      </c>
      <c r="E105" s="19" t="s">
        <v>203</v>
      </c>
      <c r="I105" s="43" t="s">
        <v>202</v>
      </c>
      <c r="J105" s="22">
        <v>4.0</v>
      </c>
      <c r="K105" s="19" t="s">
        <v>203</v>
      </c>
    </row>
    <row r="106">
      <c r="C106" s="19" t="s">
        <v>98</v>
      </c>
      <c r="D106" s="48">
        <f>D105*((D101*$D$56)/$D$59)/D104</f>
        <v>400</v>
      </c>
      <c r="E106" s="19" t="s">
        <v>99</v>
      </c>
      <c r="I106" s="43" t="s">
        <v>196</v>
      </c>
      <c r="J106" s="48">
        <f>J105*((J101*$D$56)/$D$59)/J104</f>
        <v>400</v>
      </c>
      <c r="K106" s="19" t="s">
        <v>25</v>
      </c>
    </row>
    <row r="107">
      <c r="C107" s="19" t="s">
        <v>204</v>
      </c>
      <c r="D107" s="2">
        <v>500.0</v>
      </c>
      <c r="E107" s="19" t="s">
        <v>58</v>
      </c>
      <c r="I107" s="43" t="s">
        <v>204</v>
      </c>
      <c r="J107" s="2">
        <f>D107</f>
        <v>500</v>
      </c>
      <c r="K107" s="19" t="s">
        <v>58</v>
      </c>
    </row>
    <row r="108">
      <c r="C108" s="19" t="s">
        <v>8</v>
      </c>
      <c r="D108" s="24">
        <f>D104*$F$27*(1000*D107/$H$27)</f>
        <v>30000000</v>
      </c>
      <c r="E108" s="19" t="s">
        <v>26</v>
      </c>
      <c r="F108" s="48">
        <f>D108*$D$49</f>
        <v>36000000000</v>
      </c>
      <c r="I108" s="43" t="s">
        <v>8</v>
      </c>
      <c r="J108" s="24">
        <f>J104*$F$27*(1000*J107/$H$27)</f>
        <v>100000000</v>
      </c>
      <c r="K108" s="19" t="s">
        <v>26</v>
      </c>
    </row>
    <row r="109">
      <c r="C109" s="19" t="s">
        <v>103</v>
      </c>
      <c r="D109" s="24">
        <f>D108*$D$48</f>
        <v>840000000</v>
      </c>
      <c r="E109" s="19" t="s">
        <v>37</v>
      </c>
      <c r="F109" s="48">
        <f>D109*$D$50</f>
        <v>84000000000</v>
      </c>
      <c r="I109" s="43" t="s">
        <v>103</v>
      </c>
      <c r="J109" s="24">
        <f>J108*$D$48</f>
        <v>2800000000</v>
      </c>
      <c r="K109" s="19" t="s">
        <v>37</v>
      </c>
    </row>
    <row r="110">
      <c r="C110" s="19" t="s">
        <v>106</v>
      </c>
      <c r="D110" s="48">
        <f t="shared" ref="D110:D111" si="11">F108-$D$73</f>
        <v>35999849897</v>
      </c>
      <c r="I110" s="43" t="s">
        <v>205</v>
      </c>
      <c r="J110" s="48">
        <f>J101*$D$56</f>
        <v>333333333.3</v>
      </c>
    </row>
    <row r="111">
      <c r="C111" s="19" t="s">
        <v>7</v>
      </c>
      <c r="D111" s="48">
        <f t="shared" si="11"/>
        <v>83999849897</v>
      </c>
      <c r="I111" s="47"/>
    </row>
    <row r="112">
      <c r="C112" s="19"/>
      <c r="I112" s="43"/>
    </row>
    <row r="113">
      <c r="C113" s="19" t="s">
        <v>114</v>
      </c>
      <c r="D113" s="77">
        <f t="shared" ref="D113:D114" si="12">$D$73/D108</f>
        <v>0.005003424658</v>
      </c>
      <c r="E113" s="19" t="s">
        <v>115</v>
      </c>
      <c r="I113" s="43" t="s">
        <v>114</v>
      </c>
      <c r="J113" s="77">
        <f t="shared" ref="J113:J114" si="13">$D$73/J108</f>
        <v>0.001501027397</v>
      </c>
      <c r="K113" s="19" t="s">
        <v>115</v>
      </c>
      <c r="M113" s="3" t="s">
        <v>197</v>
      </c>
      <c r="N113" s="7"/>
      <c r="O113" s="7"/>
      <c r="P113" s="7"/>
    </row>
    <row r="114">
      <c r="C114" s="19" t="s">
        <v>116</v>
      </c>
      <c r="D114" s="77">
        <f t="shared" si="12"/>
        <v>0.0001786937378</v>
      </c>
      <c r="E114" s="19" t="s">
        <v>115</v>
      </c>
      <c r="I114" s="78" t="s">
        <v>116</v>
      </c>
      <c r="J114" s="79">
        <f t="shared" si="13"/>
        <v>0.00005360812133</v>
      </c>
      <c r="K114" s="80" t="s">
        <v>115</v>
      </c>
      <c r="L114" s="55"/>
      <c r="M114" s="55"/>
    </row>
    <row r="115">
      <c r="B115" s="57"/>
      <c r="C115" s="56"/>
      <c r="D115" s="57"/>
      <c r="E115" s="57"/>
      <c r="F115" s="57"/>
      <c r="G115" s="57"/>
      <c r="I115" s="48"/>
    </row>
  </sheetData>
  <hyperlinks>
    <hyperlink r:id="rId1" ref="N18"/>
    <hyperlink r:id="rId2" ref="N1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4.38"/>
  </cols>
  <sheetData>
    <row r="1">
      <c r="A1" s="81" t="s">
        <v>206</v>
      </c>
    </row>
    <row r="2">
      <c r="A2" s="82"/>
    </row>
    <row r="3">
      <c r="A3" s="81" t="s">
        <v>207</v>
      </c>
    </row>
    <row r="4">
      <c r="A4" s="81" t="s">
        <v>208</v>
      </c>
    </row>
    <row r="5">
      <c r="A5" s="81" t="s">
        <v>209</v>
      </c>
    </row>
    <row r="6">
      <c r="A6" s="81" t="s">
        <v>210</v>
      </c>
    </row>
    <row r="7">
      <c r="A7" s="81" t="s">
        <v>211</v>
      </c>
    </row>
    <row r="8">
      <c r="A8" s="81" t="s">
        <v>212</v>
      </c>
    </row>
    <row r="9">
      <c r="A9" s="81"/>
    </row>
    <row r="10">
      <c r="A10" s="81"/>
    </row>
    <row r="11">
      <c r="A11" s="82"/>
    </row>
    <row r="12">
      <c r="A12" s="83" t="s">
        <v>213</v>
      </c>
    </row>
    <row r="13">
      <c r="A13" s="83" t="s">
        <v>214</v>
      </c>
    </row>
    <row r="14">
      <c r="A14" s="83" t="s">
        <v>215</v>
      </c>
    </row>
    <row r="15">
      <c r="A15" s="83" t="s">
        <v>216</v>
      </c>
    </row>
    <row r="16">
      <c r="A16" s="83" t="s">
        <v>217</v>
      </c>
    </row>
    <row r="17">
      <c r="A17" s="83" t="s">
        <v>218</v>
      </c>
    </row>
    <row r="18">
      <c r="A18" s="84">
        <v>0.8805555555555555</v>
      </c>
    </row>
    <row r="19">
      <c r="A19" s="82" t="s">
        <v>219</v>
      </c>
    </row>
    <row r="20">
      <c r="A20" s="83" t="s">
        <v>220</v>
      </c>
    </row>
    <row r="21">
      <c r="A21" s="83" t="s">
        <v>221</v>
      </c>
    </row>
    <row r="22">
      <c r="A22" s="84">
        <v>0.88125</v>
      </c>
    </row>
    <row r="23">
      <c r="A23" s="82" t="s">
        <v>219</v>
      </c>
    </row>
    <row r="24">
      <c r="A24" s="83" t="s">
        <v>222</v>
      </c>
    </row>
    <row r="25">
      <c r="A25" s="84">
        <v>0.88125</v>
      </c>
    </row>
    <row r="26">
      <c r="A26" s="82" t="s">
        <v>219</v>
      </c>
    </row>
    <row r="27">
      <c r="A27" s="83" t="s">
        <v>223</v>
      </c>
    </row>
    <row r="28">
      <c r="A28" s="83" t="s">
        <v>224</v>
      </c>
    </row>
    <row r="29">
      <c r="A29" s="84">
        <v>0.8826388888888889</v>
      </c>
    </row>
    <row r="30">
      <c r="A30" s="82" t="s">
        <v>219</v>
      </c>
    </row>
    <row r="31">
      <c r="A31" s="83" t="s">
        <v>225</v>
      </c>
    </row>
    <row r="32">
      <c r="A32" s="84">
        <v>0.8840277777777777</v>
      </c>
    </row>
    <row r="33">
      <c r="A33" s="82" t="s">
        <v>219</v>
      </c>
    </row>
    <row r="34">
      <c r="A34" s="83" t="s">
        <v>226</v>
      </c>
    </row>
    <row r="36">
      <c r="A36" s="85" t="s">
        <v>227</v>
      </c>
    </row>
    <row r="37">
      <c r="A37" s="86"/>
    </row>
  </sheetData>
  <hyperlinks>
    <hyperlink r:id="rId1" ref="A18"/>
    <hyperlink r:id="rId2" ref="A22"/>
    <hyperlink r:id="rId3" ref="A25"/>
    <hyperlink r:id="rId4" ref="A29"/>
    <hyperlink r:id="rId5" ref="A3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5" max="5" width="17.63"/>
  </cols>
  <sheetData>
    <row r="2">
      <c r="A2" s="26">
        <v>1.0E18</v>
      </c>
      <c r="B2" s="19" t="s">
        <v>228</v>
      </c>
      <c r="C2" s="19" t="s">
        <v>229</v>
      </c>
    </row>
    <row r="3">
      <c r="A3" s="19">
        <v>50.0</v>
      </c>
      <c r="B3" s="19" t="s">
        <v>230</v>
      </c>
      <c r="C3" s="19" t="s">
        <v>231</v>
      </c>
      <c r="D3" s="19" t="s">
        <v>232</v>
      </c>
      <c r="E3" s="19" t="s">
        <v>228</v>
      </c>
    </row>
    <row r="5">
      <c r="A5" s="26">
        <f>A2*A3</f>
        <v>5E+19</v>
      </c>
      <c r="B5" s="19" t="s">
        <v>230</v>
      </c>
      <c r="C5" s="19" t="s">
        <v>233</v>
      </c>
      <c r="D5" s="19" t="s">
        <v>232</v>
      </c>
      <c r="E5" s="19" t="s">
        <v>234</v>
      </c>
    </row>
    <row r="7">
      <c r="A7" s="19">
        <v>8600.0</v>
      </c>
      <c r="B7" s="19" t="s">
        <v>235</v>
      </c>
    </row>
    <row r="9">
      <c r="A9" s="20">
        <f>A5/A7</f>
        <v>5.81395E+15</v>
      </c>
      <c r="B9" s="19" t="s">
        <v>236</v>
      </c>
      <c r="C9" s="19" t="s">
        <v>231</v>
      </c>
      <c r="D9" s="19" t="s">
        <v>232</v>
      </c>
      <c r="E9" s="19" t="s">
        <v>234</v>
      </c>
    </row>
    <row r="11">
      <c r="A11" s="26">
        <v>3.0E7</v>
      </c>
      <c r="B11" s="19" t="s">
        <v>237</v>
      </c>
    </row>
    <row r="13">
      <c r="A13" s="20">
        <f>A9/A11</f>
        <v>193798449.6</v>
      </c>
      <c r="B13" s="19" t="s">
        <v>238</v>
      </c>
      <c r="C13" s="19" t="s">
        <v>231</v>
      </c>
      <c r="D13" s="19" t="s">
        <v>232</v>
      </c>
      <c r="E13" s="19" t="s">
        <v>234</v>
      </c>
      <c r="F13" s="19" t="s">
        <v>239</v>
      </c>
    </row>
    <row r="15">
      <c r="A15" s="26">
        <v>1000.0</v>
      </c>
      <c r="B15" s="19" t="s">
        <v>240</v>
      </c>
    </row>
    <row r="17">
      <c r="B17" s="19" t="s">
        <v>238</v>
      </c>
      <c r="C17" s="19" t="s">
        <v>231</v>
      </c>
      <c r="D17" s="19" t="s">
        <v>232</v>
      </c>
      <c r="E17" s="19" t="s">
        <v>234</v>
      </c>
      <c r="F17" s="19" t="s">
        <v>239</v>
      </c>
      <c r="G17" s="19" t="s">
        <v>241</v>
      </c>
    </row>
    <row r="19">
      <c r="A19" s="19">
        <v>10.0</v>
      </c>
      <c r="B19" s="19" t="s">
        <v>242</v>
      </c>
    </row>
    <row r="21">
      <c r="A21" s="20">
        <f>A13/A15</f>
        <v>193798.4496</v>
      </c>
      <c r="B21" s="19" t="s">
        <v>238</v>
      </c>
      <c r="C21" s="19" t="s">
        <v>231</v>
      </c>
      <c r="D21" s="19" t="s">
        <v>232</v>
      </c>
      <c r="E21" s="19" t="s">
        <v>234</v>
      </c>
      <c r="F21" s="19" t="s">
        <v>243</v>
      </c>
    </row>
    <row r="23">
      <c r="A23" s="19">
        <v>10.0</v>
      </c>
      <c r="B23" s="19" t="s">
        <v>244</v>
      </c>
    </row>
    <row r="25">
      <c r="A25" s="20">
        <f>A21/A23</f>
        <v>19379.84496</v>
      </c>
      <c r="B25" s="19" t="s">
        <v>238</v>
      </c>
      <c r="C25" s="19" t="s">
        <v>231</v>
      </c>
      <c r="D25" s="19" t="s">
        <v>232</v>
      </c>
      <c r="E25" s="19" t="s">
        <v>234</v>
      </c>
      <c r="F25" s="19" t="s">
        <v>243</v>
      </c>
      <c r="G25" s="19" t="s">
        <v>245</v>
      </c>
    </row>
    <row r="27">
      <c r="A27" s="87">
        <v>2.0E7</v>
      </c>
      <c r="B27" s="19" t="s">
        <v>246</v>
      </c>
    </row>
    <row r="29">
      <c r="A29" s="48">
        <f>A25*A27</f>
        <v>387596899225</v>
      </c>
      <c r="B29" s="19" t="s">
        <v>247</v>
      </c>
    </row>
    <row r="31">
      <c r="A31" s="48">
        <f>A29/A19</f>
        <v>38759689922</v>
      </c>
      <c r="B31" s="19" t="s">
        <v>248</v>
      </c>
      <c r="C31" s="29">
        <f>A19</f>
        <v>10</v>
      </c>
      <c r="D31" s="19" t="s">
        <v>249</v>
      </c>
    </row>
    <row r="33">
      <c r="A33" s="19" t="s">
        <v>250</v>
      </c>
    </row>
    <row r="34">
      <c r="A34" s="20">
        <f>A9</f>
        <v>5.81395E+15</v>
      </c>
      <c r="B34" s="19" t="s">
        <v>236</v>
      </c>
      <c r="C34" s="19" t="s">
        <v>251</v>
      </c>
    </row>
    <row r="35">
      <c r="A35" s="20">
        <f>A34/A19</f>
        <v>581395348837209</v>
      </c>
      <c r="B35" s="19" t="s">
        <v>252</v>
      </c>
      <c r="C35" s="19" t="s">
        <v>253</v>
      </c>
      <c r="D35" s="29">
        <f>A19</f>
        <v>10</v>
      </c>
      <c r="E35" s="19" t="s">
        <v>254</v>
      </c>
    </row>
  </sheetData>
  <drawing r:id="rId1"/>
</worksheet>
</file>